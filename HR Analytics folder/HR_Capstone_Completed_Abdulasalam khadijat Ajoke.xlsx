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942FC4B5-108C-45B5-9B73-677B1464C9A1}" xr6:coauthVersionLast="47" xr6:coauthVersionMax="47" xr10:uidLastSave="{00000000-0000-0000-0000-000000000000}"/>
  <bookViews>
    <workbookView xWindow="-120" yWindow="-120" windowWidth="20730" windowHeight="11160" firstSheet="2" activeTab="5" xr2:uid="{00000000-000D-0000-FFFF-FFFF00000000}"/>
  </bookViews>
  <sheets>
    <sheet name="Raw_Employee_Data" sheetId="1" r:id="rId1"/>
    <sheet name="Lookup_Performance" sheetId="3" r:id="rId2"/>
    <sheet name="Lookup_Departments" sheetId="2" r:id="rId3"/>
    <sheet name="PIVOT TABLE" sheetId="5" r:id="rId4"/>
    <sheet name="PIVOT CHART" sheetId="7" r:id="rId5"/>
    <sheet name="HR DASHBOARD" sheetId="8" r:id="rId6"/>
  </sheets>
  <definedNames>
    <definedName name="Slicer_Dept_Code">#N/A</definedName>
    <definedName name="Slicer_Employment_status">#N/A</definedName>
    <definedName name="Slicer_Performance_Band">#N/A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1" i="5" l="1"/>
  <c r="H15" i="5"/>
  <c r="G11" i="5"/>
  <c r="D19" i="5"/>
  <c r="D17" i="5"/>
  <c r="H11" i="5"/>
  <c r="H10" i="5"/>
  <c r="H9" i="5"/>
  <c r="H8" i="5"/>
  <c r="H7" i="5"/>
  <c r="H6" i="5"/>
  <c r="H5" i="5"/>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O10" i="5"/>
  <c r="B18" i="5"/>
  <c r="D15" i="5"/>
</calcChain>
</file>

<file path=xl/sharedStrings.xml><?xml version="1.0" encoding="utf-8"?>
<sst xmlns="http://schemas.openxmlformats.org/spreadsheetml/2006/main" count="845" uniqueCount="239">
  <si>
    <t>First_Name</t>
  </si>
  <si>
    <t>Last_Name</t>
  </si>
  <si>
    <t>Dept Code</t>
  </si>
  <si>
    <t>Hire Date</t>
  </si>
  <si>
    <t>Salary</t>
  </si>
  <si>
    <t>Perf_Score</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</si>
  <si>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</si>
  <si>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</si>
  <si>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</si>
  <si>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</si>
  <si>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</si>
  <si>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</si>
  <si>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</si>
  <si>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</si>
  <si>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</si>
  <si>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</si>
  <si>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</si>
  <si>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</si>
  <si>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</si>
  <si>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</si>
  <si>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</si>
  <si>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</si>
  <si>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</si>
  <si>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</si>
  <si>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</si>
  <si>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</si>
  <si>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</si>
  <si>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</si>
  <si>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</si>
  <si>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</si>
  <si>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</si>
  <si>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</si>
  <si>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</si>
  <si>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</si>
  <si>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</si>
  <si>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</si>
  <si>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</si>
  <si>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</si>
  <si>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</si>
  <si>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</si>
  <si>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</si>
  <si>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</si>
  <si>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</si>
  <si>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</si>
  <si>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</si>
  <si>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</si>
  <si>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</si>
  <si>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</si>
  <si>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</si>
  <si>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</si>
  <si>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</si>
  <si>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</si>
  <si>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</si>
  <si>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</si>
  <si>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</si>
  <si>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</si>
  <si>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</si>
  <si>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</si>
  <si>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</si>
  <si>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</si>
  <si>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</si>
  <si>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</si>
  <si>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</si>
  <si>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</si>
  <si>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</si>
  <si>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</si>
  <si>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</si>
  <si>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</si>
  <si>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</si>
  <si>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</si>
  <si>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</si>
  <si>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</si>
  <si>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</si>
  <si>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</si>
  <si>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</si>
  <si>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</si>
  <si>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</si>
  <si>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</si>
  <si>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</si>
  <si>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</si>
  <si>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</si>
  <si>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</si>
  <si>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</si>
  <si>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</si>
  <si>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</si>
  <si>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</si>
  <si>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</si>
  <si>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</si>
  <si>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</si>
  <si>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</si>
  <si>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</si>
  <si>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</si>
  <si>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</si>
  <si>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</si>
  <si>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</si>
  <si>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</si>
  <si>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</si>
  <si>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</si>
  <si>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</si>
  <si>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</si>
  <si>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</si>
  <si>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</si>
  <si>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</si>
  <si>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</si>
  <si>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</si>
  <si>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</si>
  <si>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</si>
  <si>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</si>
  <si>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</si>
  <si>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</si>
  <si>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</si>
  <si>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</si>
  <si>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</si>
  <si>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</si>
  <si>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</si>
  <si>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</si>
  <si>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</si>
  <si>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</si>
  <si>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</si>
  <si>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</si>
  <si>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</si>
  <si>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</si>
  <si>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</si>
  <si>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</si>
  <si>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</si>
  <si>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</si>
  <si>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</si>
  <si>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</si>
  <si>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</si>
  <si>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</si>
  <si>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</si>
  <si>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</si>
  <si>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</si>
  <si>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</si>
  <si>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</si>
  <si>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</si>
  <si>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</si>
  <si>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</si>
  <si>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</si>
  <si>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</si>
  <si>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</si>
  <si>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</si>
  <si>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</si>
  <si>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</si>
  <si>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</si>
  <si>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</si>
  <si>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</si>
  <si>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</si>
  <si>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</si>
  <si>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</si>
  <si>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</si>
  <si>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</si>
  <si>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</si>
  <si>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</si>
  <si>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</si>
  <si>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</si>
  <si>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</si>
  <si>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</si>
  <si>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</si>
  <si>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</si>
  <si>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</si>
  <si>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</si>
  <si>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</si>
  <si>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</si>
  <si>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</si>
  <si>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</si>
  <si>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</si>
  <si>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</si>
  <si>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</si>
  <si>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</si>
  <si>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</si>
  <si>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</si>
  <si>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</si>
  <si>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</si>
  <si>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</si>
  <si>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</si>
  <si>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</si>
  <si>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</si>
  <si>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</si>
  <si>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</si>
  <si>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</si>
  <si>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</si>
  <si>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</si>
  <si>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</si>
  <si>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</si>
  <si>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</si>
  <si>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</si>
  <si>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</si>
  <si>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</si>
  <si>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</si>
  <si>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</si>
  <si>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</si>
  <si>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</si>
  <si>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</si>
  <si>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</si>
  <si>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</si>
  <si>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</si>
  <si>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</si>
  <si>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</si>
  <si>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</si>
  <si>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</si>
  <si>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</si>
  <si>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</si>
  <si>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</si>
  <si>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</si>
  <si>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</si>
  <si>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</si>
  <si>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</si>
  <si>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</si>
  <si>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</si>
  <si>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</si>
  <si>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</si>
  <si>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Employee ID</t>
  </si>
  <si>
    <t xml:space="preserve">Employment status </t>
  </si>
  <si>
    <t>Full Name</t>
  </si>
  <si>
    <t>Department Name</t>
  </si>
  <si>
    <t>Years of Service</t>
  </si>
  <si>
    <t>Performance Band</t>
  </si>
  <si>
    <t>Eligible Bonus Amount</t>
  </si>
  <si>
    <t>Grand Total</t>
  </si>
  <si>
    <t>Count of Employee ID</t>
  </si>
  <si>
    <t>Average of Salary</t>
  </si>
  <si>
    <t>Employment status</t>
  </si>
  <si>
    <t>Attrition Rate</t>
  </si>
  <si>
    <t>No of Left Employee</t>
  </si>
  <si>
    <t>ATTRITION RATE</t>
  </si>
  <si>
    <t>Average of Perf_Score</t>
  </si>
  <si>
    <t>PERFORMANCE BY STATUS</t>
  </si>
  <si>
    <t>Sum of Eligible Bonus Amount</t>
  </si>
  <si>
    <t>TOP THREE PAYING DEPARTMENT</t>
  </si>
  <si>
    <t>HEADCOUNT AND SALARY ANALYSIS</t>
  </si>
  <si>
    <t>Average of Years of Service</t>
  </si>
  <si>
    <t>BONUS PAYOUT BY PERFORMANCE BAND</t>
  </si>
  <si>
    <t>Overall</t>
  </si>
  <si>
    <t>KPIS</t>
  </si>
  <si>
    <t>Total Employee</t>
  </si>
  <si>
    <t>Average salary</t>
  </si>
  <si>
    <t>Average years of service</t>
  </si>
  <si>
    <t>Overall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</si>
</sst>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numFmt numFmtId="165" formatCode="&quot;$&quot;#,##0"/>
    <numFmt numFmtId="166" formatCode="&quot;$&quot;#,##0.00"/>
    <numFmt numFmtId="167" formatCode="&quot;$&quot;#,##0,&quot;K&quot;"/>
  </numFmts>
  <fonts count="4" x14ac:knownFonts="1">
    <font>
      <sz val="11"/>
      <color theme="1"/>
      <name val="Calibri"/>
      <family val="2"/>
      <scheme val="minor"/>
    </font>
    <font>
      <b/>
      <sz val="11"/>
      <name val="Calibri"/>
    </font>
    <font>
      <sz val="11"/>
      <color theme="1"/>
      <name val="Calibri"/>
      <family val="2"/>
      <scheme val="minor"/>
    </font>
    <font>
      <b/>
      <sz val="11"/>
      <name val="Calibri"/>
      <family val="2"/>
    </font>
  </fonts>
  <fills count="6">
    <fill>
      <patternFill patternType="none"/>
    </fill>
    <fill>
      <patternFill patternType="gray125"/>
    </fill>
    <fill>
      <patternFill patternType="solid">
        <fgColor theme="3" tint="0.39997558519241921"/>
        <bgColor indexed="64"/>
      </patternFill>
    </fill>
    <fill>
      <patternFill patternType="solid">
        <fgColor theme="4" tint="0.39997558519241921"/>
        <bgColor indexed="64"/>
      </patternFill>
    </fill>
    <fill>
      <patternFill patternType="solid">
        <fgColor theme="3"/>
        <bgColor indexed="64"/>
      </patternFill>
    </fill>
    <fill>
      <patternFill patternType="solid">
        <fgColor theme="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49" fontId="0" fillId="0" borderId="0" xfId="0" applyNumberFormat="1"/>
    <xf numFmtId="164" fontId="0" fillId="0" borderId="0" xfId="0" applyNumberFormat="1"/>
    <xf numFmtId="165" fontId="0" fillId="0" borderId="0" xfId="0" applyNumberFormat="1" applyAlignment="1">
      <alignment horizontal="right"/>
    </xf>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164" fontId="1" fillId="0" borderId="1" xfId="0" applyNumberFormat="1" applyFont="1" applyBorder="1" applyAlignment="1">
      <alignment horizontal="left" vertical="top"/>
    </xf>
    <xf numFmtId="165" fontId="1" fillId="0" borderId="1" xfId="0" applyNumberFormat="1" applyFont="1" applyBorder="1" applyAlignment="1">
      <alignment horizontal="left" vertical="top"/>
    </xf>
    <xf numFmtId="0" fontId="1" fillId="0" borderId="2" xfId="0" applyFont="1" applyBorder="1" applyAlignment="1">
      <alignment horizontal="left" vertical="top"/>
    </xf>
    <xf numFmtId="0" fontId="0" fillId="0" borderId="0" xfId="0" applyAlignment="1">
      <alignment horizontal="left"/>
    </xf>
    <xf numFmtId="0" fontId="3" fillId="0" borderId="2" xfId="0" applyFont="1" applyBorder="1" applyAlignment="1">
      <alignment horizontal="left" vertical="top"/>
    </xf>
    <xf numFmtId="1" fontId="3" fillId="0" borderId="2" xfId="0" applyNumberFormat="1" applyFont="1" applyBorder="1" applyAlignment="1">
      <alignment horizontal="left" vertical="top"/>
    </xf>
    <xf numFmtId="1" fontId="0" fillId="0" borderId="0" xfId="0" applyNumberFormat="1"/>
    <xf numFmtId="0" fontId="0" fillId="0" borderId="0" xfId="0" pivotButton="1"/>
    <xf numFmtId="165" fontId="0" fillId="0" borderId="0" xfId="0" applyNumberFormat="1"/>
    <xf numFmtId="9" fontId="0" fillId="0" borderId="0" xfId="2" applyFont="1"/>
    <xf numFmtId="0" fontId="0" fillId="3" borderId="0" xfId="0" applyFill="1"/>
    <xf numFmtId="0" fontId="0" fillId="0" borderId="0" xfId="1" applyNumberFormat="1" applyFont="1"/>
    <xf numFmtId="9" fontId="0" fillId="0" borderId="0" xfId="0" applyNumberFormat="1"/>
    <xf numFmtId="167" fontId="0" fillId="0" borderId="0" xfId="0" applyNumberFormat="1"/>
    <xf numFmtId="0" fontId="0" fillId="2" borderId="0" xfId="0" applyFill="1" applyAlignment="1">
      <alignment horizontal="center"/>
    </xf>
    <xf numFmtId="0" fontId="0" fillId="0" borderId="0" xfId="2" applyNumberFormat="1" applyFont="1"/>
    <xf numFmtId="0" fontId="0" fillId="4" borderId="0" xfId="0" applyFont="1"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5" borderId="0" xfId="0" applyFill="1" applyAlignment="1"/>
  </cellXfs>
  <cellStyles count="3">
    <cellStyle name="Currency" xfId="1" builtinId="4"/>
    <cellStyle name="Normal" xfId="0" builtinId="0"/>
    <cellStyle name="Percent" xfId="2" builtinId="5"/>
  </cellStyles>
  <dxfs count="11">
    <dxf>
      <numFmt numFmtId="1" formatCode="0"/>
    </dxf>
    <dxf>
      <numFmt numFmtId="1" formatCode="0"/>
    </dxf>
    <dxf>
      <numFmt numFmtId="0" formatCode="General"/>
    </dxf>
    <dxf>
      <numFmt numFmtId="0" formatCode="General"/>
    </dxf>
    <dxf>
      <numFmt numFmtId="1" formatCode="0"/>
    </dxf>
    <dxf>
      <numFmt numFmtId="0" formatCode="General"/>
    </dxf>
    <dxf>
      <numFmt numFmtId="0" formatCode="General"/>
    </dxf>
    <dxf>
      <numFmt numFmtId="165" formatCode="&quot;$&quot;#,##0"/>
      <alignment horizontal="right" textRotation="0" wrapText="0" indent="0" justifyLastLine="0" shrinkToFit="0" readingOrder="0"/>
    </dxf>
    <dxf>
      <numFmt numFmtId="164" formatCode="yyyy\-mm\-dd;@"/>
    </dxf>
    <dxf>
      <numFmt numFmtId="30" formatCode="@"/>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00CC"/>
      <color rgb="FF9933FF"/>
      <color rgb="FF99FFCC"/>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TABLE!PivotTable3</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effectLst/>
                <a:latin typeface="Times New Roman" panose="02020603050405020304" pitchFamily="18" charset="0"/>
                <a:cs typeface="Times New Roman" panose="02020603050405020304" pitchFamily="18" charset="0"/>
              </a:rPr>
              <a:t>EMPLOYEE PERFORMANCE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33FF"/>
          </a:solidFill>
          <a:ln>
            <a:solidFill>
              <a:srgbClr val="9933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TABLE'!$K$3:$K$4</c:f>
              <c:strCache>
                <c:ptCount val="1"/>
                <c:pt idx="0">
                  <c:v>Active</c:v>
                </c:pt>
              </c:strCache>
            </c:strRef>
          </c:tx>
          <c:spPr>
            <a:solidFill>
              <a:srgbClr val="99F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TABLE'!$J$5:$J$11</c:f>
              <c:strCache>
                <c:ptCount val="6"/>
                <c:pt idx="0">
                  <c:v>Marketing</c:v>
                </c:pt>
                <c:pt idx="1">
                  <c:v>Human Resources</c:v>
                </c:pt>
                <c:pt idx="2">
                  <c:v>Operations</c:v>
                </c:pt>
                <c:pt idx="3">
                  <c:v>Finance</c:v>
                </c:pt>
                <c:pt idx="4">
                  <c:v>Information Technology</c:v>
                </c:pt>
                <c:pt idx="5">
                  <c:v>Sales</c:v>
                </c:pt>
              </c:strCache>
            </c:strRef>
          </c:cat>
          <c:val>
            <c:numRef>
              <c:f>'PIVOT TABLE'!$K$5:$K$11</c:f>
              <c:numCache>
                <c:formatCode>0</c:formatCode>
                <c:ptCount val="6"/>
                <c:pt idx="0">
                  <c:v>74.6875</c:v>
                </c:pt>
                <c:pt idx="1">
                  <c:v>69.933333333333337</c:v>
                </c:pt>
                <c:pt idx="2">
                  <c:v>69.444444444444443</c:v>
                </c:pt>
                <c:pt idx="3">
                  <c:v>68.357142857142861</c:v>
                </c:pt>
                <c:pt idx="4">
                  <c:v>67.25</c:v>
                </c:pt>
                <c:pt idx="5">
                  <c:v>60.96</c:v>
                </c:pt>
              </c:numCache>
            </c:numRef>
          </c:val>
          <c:extLst>
            <c:ext xmlns:c16="http://schemas.microsoft.com/office/drawing/2014/chart" uri="{C3380CC4-5D6E-409C-BE32-E72D297353CC}">
              <c16:uniqueId val="{00000000-77EF-4917-9304-1A4E4F293931}"/>
            </c:ext>
          </c:extLst>
        </c:ser>
        <c:ser>
          <c:idx val="1"/>
          <c:order val="1"/>
          <c:tx>
            <c:strRef>
              <c:f>'PIVOT TABLE'!$L$3:$L$4</c:f>
              <c:strCache>
                <c:ptCount val="1"/>
                <c:pt idx="0">
                  <c:v>Left</c:v>
                </c:pt>
              </c:strCache>
            </c:strRef>
          </c:tx>
          <c:spPr>
            <a:solidFill>
              <a:srgbClr val="9933FF"/>
            </a:solidFill>
            <a:ln>
              <a:solidFill>
                <a:srgbClr val="9933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TABLE'!$J$5:$J$11</c:f>
              <c:strCache>
                <c:ptCount val="6"/>
                <c:pt idx="0">
                  <c:v>Marketing</c:v>
                </c:pt>
                <c:pt idx="1">
                  <c:v>Human Resources</c:v>
                </c:pt>
                <c:pt idx="2">
                  <c:v>Operations</c:v>
                </c:pt>
                <c:pt idx="3">
                  <c:v>Finance</c:v>
                </c:pt>
                <c:pt idx="4">
                  <c:v>Information Technology</c:v>
                </c:pt>
                <c:pt idx="5">
                  <c:v>Sales</c:v>
                </c:pt>
              </c:strCache>
            </c:strRef>
          </c:cat>
          <c:val>
            <c:numRef>
              <c:f>'PIVOT TABLE'!$L$5:$L$11</c:f>
              <c:numCache>
                <c:formatCode>0</c:formatCode>
                <c:ptCount val="6"/>
                <c:pt idx="0">
                  <c:v>65.333333333333329</c:v>
                </c:pt>
                <c:pt idx="1">
                  <c:v>71</c:v>
                </c:pt>
                <c:pt idx="2">
                  <c:v>73.833333333333329</c:v>
                </c:pt>
                <c:pt idx="3">
                  <c:v>71.666666666666671</c:v>
                </c:pt>
                <c:pt idx="4">
                  <c:v>51.833333333333336</c:v>
                </c:pt>
                <c:pt idx="5">
                  <c:v>70.5</c:v>
                </c:pt>
              </c:numCache>
            </c:numRef>
          </c:val>
          <c:extLst>
            <c:ext xmlns:c16="http://schemas.microsoft.com/office/drawing/2014/chart" uri="{C3380CC4-5D6E-409C-BE32-E72D297353CC}">
              <c16:uniqueId val="{00000001-77EF-4917-9304-1A4E4F293931}"/>
            </c:ext>
          </c:extLst>
        </c:ser>
        <c:dLbls>
          <c:dLblPos val="inEnd"/>
          <c:showLegendKey val="0"/>
          <c:showVal val="1"/>
          <c:showCatName val="0"/>
          <c:showSerName val="0"/>
          <c:showPercent val="0"/>
          <c:showBubbleSize val="0"/>
        </c:dLbls>
        <c:gapWidth val="219"/>
        <c:axId val="1771898144"/>
        <c:axId val="1771916384"/>
      </c:barChart>
      <c:catAx>
        <c:axId val="177189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1916384"/>
        <c:crosses val="autoZero"/>
        <c:auto val="1"/>
        <c:lblAlgn val="ctr"/>
        <c:lblOffset val="100"/>
        <c:noMultiLvlLbl val="0"/>
      </c:catAx>
      <c:valAx>
        <c:axId val="1771916384"/>
        <c:scaling>
          <c:orientation val="minMax"/>
          <c:min val="50"/>
        </c:scaling>
        <c:delete val="1"/>
        <c:axPos val="b"/>
        <c:numFmt formatCode="0" sourceLinked="1"/>
        <c:majorTickMark val="out"/>
        <c:minorTickMark val="none"/>
        <c:tickLblPos val="nextTo"/>
        <c:crossAx val="177189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TABLE!PivotTable1</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effectLst/>
                <a:latin typeface="Times New Roman" panose="02020603050405020304" pitchFamily="18" charset="0"/>
                <a:cs typeface="Times New Roman" panose="02020603050405020304" pitchFamily="18" charset="0"/>
              </a:rPr>
              <a:t>HEADCOUNT AND SALARY BY DEPARTMENT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99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CC"/>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 TABLE'!$C$3</c:f>
              <c:strCache>
                <c:ptCount val="1"/>
                <c:pt idx="0">
                  <c:v>Average of Salary</c:v>
                </c:pt>
              </c:strCache>
            </c:strRef>
          </c:tx>
          <c:spPr>
            <a:solidFill>
              <a:srgbClr val="9900CC"/>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Information Technology</c:v>
                </c:pt>
                <c:pt idx="1">
                  <c:v>Sales</c:v>
                </c:pt>
                <c:pt idx="2">
                  <c:v>Operations</c:v>
                </c:pt>
                <c:pt idx="3">
                  <c:v>Marketing</c:v>
                </c:pt>
                <c:pt idx="4">
                  <c:v>Human Resources</c:v>
                </c:pt>
                <c:pt idx="5">
                  <c:v>Finance</c:v>
                </c:pt>
              </c:strCache>
            </c:strRef>
          </c:cat>
          <c:val>
            <c:numRef>
              <c:f>'PIVOT TABLE'!$C$4:$C$10</c:f>
              <c:numCache>
                <c:formatCode>"$"#,##0</c:formatCode>
                <c:ptCount val="6"/>
                <c:pt idx="0">
                  <c:v>80511.305555555562</c:v>
                </c:pt>
                <c:pt idx="1">
                  <c:v>86212.06451612903</c:v>
                </c:pt>
                <c:pt idx="2">
                  <c:v>80009.172413793101</c:v>
                </c:pt>
                <c:pt idx="3">
                  <c:v>85406.68421052632</c:v>
                </c:pt>
                <c:pt idx="4">
                  <c:v>85461.611111111109</c:v>
                </c:pt>
                <c:pt idx="5">
                  <c:v>87155.23529411765</c:v>
                </c:pt>
              </c:numCache>
            </c:numRef>
          </c:val>
          <c:extLst>
            <c:ext xmlns:c16="http://schemas.microsoft.com/office/drawing/2014/chart" uri="{C3380CC4-5D6E-409C-BE32-E72D297353CC}">
              <c16:uniqueId val="{00000001-A8CD-45CC-9C81-FF74A4CCDCB8}"/>
            </c:ext>
          </c:extLst>
        </c:ser>
        <c:dLbls>
          <c:dLblPos val="inBase"/>
          <c:showLegendKey val="0"/>
          <c:showVal val="1"/>
          <c:showCatName val="0"/>
          <c:showSerName val="0"/>
          <c:showPercent val="0"/>
          <c:showBubbleSize val="0"/>
        </c:dLbls>
        <c:gapWidth val="150"/>
        <c:overlap val="100"/>
        <c:axId val="1771894304"/>
        <c:axId val="1771909184"/>
      </c:barChart>
      <c:lineChart>
        <c:grouping val="standard"/>
        <c:varyColors val="0"/>
        <c:ser>
          <c:idx val="0"/>
          <c:order val="0"/>
          <c:tx>
            <c:strRef>
              <c:f>'PIVOT TABLE'!$B$3</c:f>
              <c:strCache>
                <c:ptCount val="1"/>
                <c:pt idx="0">
                  <c:v>Count of Employee ID</c:v>
                </c:pt>
              </c:strCache>
            </c:strRef>
          </c:tx>
          <c:spPr>
            <a:ln w="28575" cap="rnd">
              <a:solidFill>
                <a:srgbClr val="99FFC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Information Technology</c:v>
                </c:pt>
                <c:pt idx="1">
                  <c:v>Sales</c:v>
                </c:pt>
                <c:pt idx="2">
                  <c:v>Operations</c:v>
                </c:pt>
                <c:pt idx="3">
                  <c:v>Marketing</c:v>
                </c:pt>
                <c:pt idx="4">
                  <c:v>Human Resources</c:v>
                </c:pt>
                <c:pt idx="5">
                  <c:v>Finance</c:v>
                </c:pt>
              </c:strCache>
            </c:strRef>
          </c:cat>
          <c:val>
            <c:numRef>
              <c:f>'PIVOT TABLE'!$B$4:$B$10</c:f>
              <c:numCache>
                <c:formatCode>General</c:formatCode>
                <c:ptCount val="6"/>
                <c:pt idx="0">
                  <c:v>36</c:v>
                </c:pt>
                <c:pt idx="1">
                  <c:v>31</c:v>
                </c:pt>
                <c:pt idx="2">
                  <c:v>29</c:v>
                </c:pt>
                <c:pt idx="3">
                  <c:v>19</c:v>
                </c:pt>
                <c:pt idx="4">
                  <c:v>18</c:v>
                </c:pt>
                <c:pt idx="5">
                  <c:v>17</c:v>
                </c:pt>
              </c:numCache>
            </c:numRef>
          </c:val>
          <c:smooth val="0"/>
          <c:extLst>
            <c:ext xmlns:c16="http://schemas.microsoft.com/office/drawing/2014/chart" uri="{C3380CC4-5D6E-409C-BE32-E72D297353CC}">
              <c16:uniqueId val="{00000000-A8CD-45CC-9C81-FF74A4CCDCB8}"/>
            </c:ext>
          </c:extLst>
        </c:ser>
        <c:dLbls>
          <c:showLegendKey val="0"/>
          <c:showVal val="1"/>
          <c:showCatName val="0"/>
          <c:showSerName val="0"/>
          <c:showPercent val="0"/>
          <c:showBubbleSize val="0"/>
        </c:dLbls>
        <c:marker val="1"/>
        <c:smooth val="0"/>
        <c:axId val="1765157344"/>
        <c:axId val="1765141984"/>
      </c:lineChart>
      <c:catAx>
        <c:axId val="177189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1909184"/>
        <c:crosses val="autoZero"/>
        <c:auto val="1"/>
        <c:lblAlgn val="ctr"/>
        <c:lblOffset val="100"/>
        <c:noMultiLvlLbl val="0"/>
      </c:catAx>
      <c:valAx>
        <c:axId val="1771909184"/>
        <c:scaling>
          <c:orientation val="minMax"/>
          <c:min val="76000"/>
        </c:scaling>
        <c:delete val="0"/>
        <c:axPos val="l"/>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894304"/>
        <c:crosses val="autoZero"/>
        <c:crossBetween val="between"/>
      </c:valAx>
      <c:valAx>
        <c:axId val="1765141984"/>
        <c:scaling>
          <c:orientation val="minMax"/>
        </c:scaling>
        <c:delete val="0"/>
        <c:axPos val="r"/>
        <c:numFmt formatCode="General" sourceLinked="1"/>
        <c:majorTickMark val="out"/>
        <c:minorTickMark val="none"/>
        <c:tickLblPos val="none"/>
        <c:spPr>
          <a:noFill/>
          <a:ln>
            <a:noFill/>
          </a:ln>
          <a:effectLst/>
        </c:spPr>
        <c:txPr>
          <a:bodyPr rot="-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57344"/>
        <c:crosses val="max"/>
        <c:crossBetween val="between"/>
      </c:valAx>
      <c:catAx>
        <c:axId val="1765157344"/>
        <c:scaling>
          <c:orientation val="minMax"/>
        </c:scaling>
        <c:delete val="1"/>
        <c:axPos val="t"/>
        <c:numFmt formatCode="General" sourceLinked="1"/>
        <c:majorTickMark val="out"/>
        <c:minorTickMark val="none"/>
        <c:tickLblPos val="nextTo"/>
        <c:crossAx val="17651419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TABLE!PivotTable5</c:name>
    <c:fmtId val="3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effectLst/>
                <a:latin typeface="Times New Roman" panose="02020603050405020304" pitchFamily="18" charset="0"/>
                <a:cs typeface="Times New Roman" panose="02020603050405020304" pitchFamily="18" charset="0"/>
              </a:rPr>
              <a:t>TOP THREE PAYING DEPARTMENT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9FFCC"/>
          </a:solidFill>
          <a:ln w="19050">
            <a:solidFill>
              <a:srgbClr val="99FFCC"/>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CC"/>
          </a:solidFill>
          <a:ln w="19050">
            <a:solidFill>
              <a:srgbClr val="99FFCC"/>
            </a:solidFill>
          </a:ln>
          <a:effectLst/>
        </c:spPr>
      </c:pivotFmt>
      <c:pivotFmt>
        <c:idx val="7"/>
        <c:spPr>
          <a:solidFill>
            <a:srgbClr val="00CC99"/>
          </a:solidFill>
          <a:ln w="19050">
            <a:noFill/>
          </a:ln>
          <a:effectLst/>
        </c:spPr>
      </c:pivotFmt>
      <c:pivotFmt>
        <c:idx val="8"/>
        <c:spPr>
          <a:solidFill>
            <a:srgbClr val="99FFCC"/>
          </a:solidFill>
          <a:ln w="19050">
            <a:solidFill>
              <a:srgbClr val="99FFCC"/>
            </a:solidFill>
          </a:ln>
          <a:effectLst/>
        </c:spPr>
      </c:pivotFmt>
    </c:pivotFmts>
    <c:plotArea>
      <c:layout>
        <c:manualLayout>
          <c:layoutTarget val="inner"/>
          <c:xMode val="edge"/>
          <c:yMode val="edge"/>
          <c:x val="0.24116750178954904"/>
          <c:y val="0.18995917177019539"/>
          <c:w val="0.43950799331901697"/>
          <c:h val="0.67147054534849815"/>
        </c:manualLayout>
      </c:layout>
      <c:doughnutChart>
        <c:varyColors val="1"/>
        <c:ser>
          <c:idx val="0"/>
          <c:order val="0"/>
          <c:tx>
            <c:strRef>
              <c:f>'PIVOT TABLE'!$B$13</c:f>
              <c:strCache>
                <c:ptCount val="1"/>
                <c:pt idx="0">
                  <c:v>Total</c:v>
                </c:pt>
              </c:strCache>
            </c:strRef>
          </c:tx>
          <c:spPr>
            <a:solidFill>
              <a:srgbClr val="99FFCC"/>
            </a:solidFill>
            <a:ln>
              <a:solidFill>
                <a:srgbClr val="99FFCC"/>
              </a:solidFill>
            </a:ln>
          </c:spPr>
          <c:dPt>
            <c:idx val="0"/>
            <c:bubble3D val="0"/>
            <c:spPr>
              <a:solidFill>
                <a:srgbClr val="9900CC"/>
              </a:solidFill>
              <a:ln w="19050">
                <a:solidFill>
                  <a:srgbClr val="99FFCC"/>
                </a:solidFill>
              </a:ln>
              <a:effectLst/>
            </c:spPr>
            <c:extLst>
              <c:ext xmlns:c16="http://schemas.microsoft.com/office/drawing/2014/chart" uri="{C3380CC4-5D6E-409C-BE32-E72D297353CC}">
                <c16:uniqueId val="{00000001-CA95-49F0-B707-9CEF6B537E9F}"/>
              </c:ext>
            </c:extLst>
          </c:dPt>
          <c:dPt>
            <c:idx val="1"/>
            <c:bubble3D val="0"/>
            <c:spPr>
              <a:solidFill>
                <a:srgbClr val="00CC99"/>
              </a:solidFill>
              <a:ln w="19050">
                <a:noFill/>
              </a:ln>
              <a:effectLst/>
            </c:spPr>
            <c:extLst>
              <c:ext xmlns:c16="http://schemas.microsoft.com/office/drawing/2014/chart" uri="{C3380CC4-5D6E-409C-BE32-E72D297353CC}">
                <c16:uniqueId val="{00000003-CA95-49F0-B707-9CEF6B537E9F}"/>
              </c:ext>
            </c:extLst>
          </c:dPt>
          <c:dPt>
            <c:idx val="2"/>
            <c:bubble3D val="0"/>
            <c:spPr>
              <a:solidFill>
                <a:srgbClr val="99FFCC"/>
              </a:solidFill>
              <a:ln w="19050">
                <a:solidFill>
                  <a:srgbClr val="99FFCC"/>
                </a:solidFill>
              </a:ln>
              <a:effectLst/>
            </c:spPr>
            <c:extLst>
              <c:ext xmlns:c16="http://schemas.microsoft.com/office/drawing/2014/chart" uri="{C3380CC4-5D6E-409C-BE32-E72D297353CC}">
                <c16:uniqueId val="{00000005-CA95-49F0-B707-9CEF6B537E9F}"/>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TABLE'!$A$14:$A$17</c:f>
              <c:strCache>
                <c:ptCount val="3"/>
                <c:pt idx="0">
                  <c:v>Finance</c:v>
                </c:pt>
                <c:pt idx="1">
                  <c:v>Human Resources</c:v>
                </c:pt>
                <c:pt idx="2">
                  <c:v>Sales</c:v>
                </c:pt>
              </c:strCache>
            </c:strRef>
          </c:cat>
          <c:val>
            <c:numRef>
              <c:f>'PIVOT TABLE'!$B$14:$B$17</c:f>
              <c:numCache>
                <c:formatCode>"$"#,##0</c:formatCode>
                <c:ptCount val="3"/>
                <c:pt idx="0">
                  <c:v>87155.23529411765</c:v>
                </c:pt>
                <c:pt idx="1">
                  <c:v>85461.611111111109</c:v>
                </c:pt>
                <c:pt idx="2">
                  <c:v>86212.06451612903</c:v>
                </c:pt>
              </c:numCache>
            </c:numRef>
          </c:val>
          <c:extLst>
            <c:ext xmlns:c16="http://schemas.microsoft.com/office/drawing/2014/chart" uri="{C3380CC4-5D6E-409C-BE32-E72D297353CC}">
              <c16:uniqueId val="{00000006-CA95-49F0-B707-9CEF6B537E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effectLst/>
                <a:latin typeface="Times New Roman" panose="02020603050405020304" pitchFamily="18" charset="0"/>
                <a:cs typeface="Times New Roman" panose="02020603050405020304" pitchFamily="18" charset="0"/>
              </a:rPr>
              <a:t>BONUS PAYOUT BY PERFORMANCE BAND </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Total</c:v>
                </c:pt>
              </c:strCache>
            </c:strRef>
          </c:tx>
          <c:spPr>
            <a:solidFill>
              <a:srgbClr val="99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TABLE'!$N$4:$N$9</c:f>
              <c:strCache>
                <c:ptCount val="5"/>
                <c:pt idx="0">
                  <c:v>Achieving</c:v>
                </c:pt>
                <c:pt idx="1">
                  <c:v>Exceeding</c:v>
                </c:pt>
                <c:pt idx="2">
                  <c:v>Outstanding</c:v>
                </c:pt>
                <c:pt idx="3">
                  <c:v>Developing</c:v>
                </c:pt>
                <c:pt idx="4">
                  <c:v>Needs Improvement</c:v>
                </c:pt>
              </c:strCache>
            </c:strRef>
          </c:cat>
          <c:val>
            <c:numRef>
              <c:f>'PIVOT TABLE'!$O$4:$O$9</c:f>
              <c:numCache>
                <c:formatCode>General</c:formatCode>
                <c:ptCount val="5"/>
                <c:pt idx="0">
                  <c:v>2.0500000000000007</c:v>
                </c:pt>
                <c:pt idx="1">
                  <c:v>1.7600000000000005</c:v>
                </c:pt>
                <c:pt idx="2">
                  <c:v>1.2000000000000002</c:v>
                </c:pt>
                <c:pt idx="3">
                  <c:v>0.98000000000000054</c:v>
                </c:pt>
                <c:pt idx="4">
                  <c:v>0</c:v>
                </c:pt>
              </c:numCache>
            </c:numRef>
          </c:val>
          <c:extLst>
            <c:ext xmlns:c16="http://schemas.microsoft.com/office/drawing/2014/chart" uri="{C3380CC4-5D6E-409C-BE32-E72D297353CC}">
              <c16:uniqueId val="{00000000-3E86-4723-B570-8BBC0F39A6C8}"/>
            </c:ext>
          </c:extLst>
        </c:ser>
        <c:dLbls>
          <c:dLblPos val="outEnd"/>
          <c:showLegendKey val="0"/>
          <c:showVal val="1"/>
          <c:showCatName val="0"/>
          <c:showSerName val="0"/>
          <c:showPercent val="0"/>
          <c:showBubbleSize val="0"/>
        </c:dLbls>
        <c:gapWidth val="219"/>
        <c:overlap val="-27"/>
        <c:axId val="1771906784"/>
        <c:axId val="1771909184"/>
      </c:barChart>
      <c:catAx>
        <c:axId val="177190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09184"/>
        <c:crosses val="autoZero"/>
        <c:auto val="1"/>
        <c:lblAlgn val="ctr"/>
        <c:lblOffset val="100"/>
        <c:noMultiLvlLbl val="0"/>
      </c:catAx>
      <c:valAx>
        <c:axId val="1771909184"/>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TABLE!PivotTable1</c:name>
    <c:fmtId val="3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i="0" u="none" strike="noStrike" baseline="0">
                <a:effectLst/>
                <a:latin typeface="Times New Roman" panose="02020603050405020304" pitchFamily="18" charset="0"/>
                <a:cs typeface="Times New Roman" panose="02020603050405020304" pitchFamily="18" charset="0"/>
              </a:rPr>
              <a:t>Headcount and Salary by Department </a:t>
            </a:r>
            <a:endParaRPr lang="en-US" sz="1600" b="1">
              <a:latin typeface="Times New Roman" panose="02020603050405020304" pitchFamily="18" charset="0"/>
              <a:cs typeface="Times New Roman" panose="02020603050405020304" pitchFamily="18" charset="0"/>
            </a:endParaRPr>
          </a:p>
        </c:rich>
      </c:tx>
      <c:layout>
        <c:manualLayout>
          <c:xMode val="edge"/>
          <c:yMode val="edge"/>
          <c:x val="0.19306534791898211"/>
          <c:y val="4.036932485481164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9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CC"/>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CC"/>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9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00CC"/>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rgbClr val="99FF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483285035837668E-2"/>
          <c:y val="0.16607487204155433"/>
          <c:w val="0.95654320987654318"/>
          <c:h val="0.52423431300883927"/>
        </c:manualLayout>
      </c:layout>
      <c:barChart>
        <c:barDir val="col"/>
        <c:grouping val="stacked"/>
        <c:varyColors val="0"/>
        <c:ser>
          <c:idx val="1"/>
          <c:order val="1"/>
          <c:tx>
            <c:strRef>
              <c:f>'PIVOT TABLE'!$C$3</c:f>
              <c:strCache>
                <c:ptCount val="1"/>
                <c:pt idx="0">
                  <c:v>Average of Salary</c:v>
                </c:pt>
              </c:strCache>
            </c:strRef>
          </c:tx>
          <c:spPr>
            <a:solidFill>
              <a:srgbClr val="9900CC"/>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Information Technology</c:v>
                </c:pt>
                <c:pt idx="1">
                  <c:v>Sales</c:v>
                </c:pt>
                <c:pt idx="2">
                  <c:v>Operations</c:v>
                </c:pt>
                <c:pt idx="3">
                  <c:v>Marketing</c:v>
                </c:pt>
                <c:pt idx="4">
                  <c:v>Human Resources</c:v>
                </c:pt>
                <c:pt idx="5">
                  <c:v>Finance</c:v>
                </c:pt>
              </c:strCache>
            </c:strRef>
          </c:cat>
          <c:val>
            <c:numRef>
              <c:f>'PIVOT TABLE'!$C$4:$C$10</c:f>
              <c:numCache>
                <c:formatCode>"$"#,##0</c:formatCode>
                <c:ptCount val="6"/>
                <c:pt idx="0">
                  <c:v>80511.305555555562</c:v>
                </c:pt>
                <c:pt idx="1">
                  <c:v>86212.06451612903</c:v>
                </c:pt>
                <c:pt idx="2">
                  <c:v>80009.172413793101</c:v>
                </c:pt>
                <c:pt idx="3">
                  <c:v>85406.68421052632</c:v>
                </c:pt>
                <c:pt idx="4">
                  <c:v>85461.611111111109</c:v>
                </c:pt>
                <c:pt idx="5">
                  <c:v>87155.23529411765</c:v>
                </c:pt>
              </c:numCache>
            </c:numRef>
          </c:val>
          <c:extLst>
            <c:ext xmlns:c16="http://schemas.microsoft.com/office/drawing/2014/chart" uri="{C3380CC4-5D6E-409C-BE32-E72D297353CC}">
              <c16:uniqueId val="{00000000-B0FC-4423-9C42-A50FCB6C0383}"/>
            </c:ext>
          </c:extLst>
        </c:ser>
        <c:dLbls>
          <c:dLblPos val="inBase"/>
          <c:showLegendKey val="0"/>
          <c:showVal val="1"/>
          <c:showCatName val="0"/>
          <c:showSerName val="0"/>
          <c:showPercent val="0"/>
          <c:showBubbleSize val="0"/>
        </c:dLbls>
        <c:gapWidth val="150"/>
        <c:overlap val="100"/>
        <c:axId val="1771894304"/>
        <c:axId val="1771909184"/>
      </c:barChart>
      <c:lineChart>
        <c:grouping val="standard"/>
        <c:varyColors val="0"/>
        <c:ser>
          <c:idx val="0"/>
          <c:order val="0"/>
          <c:tx>
            <c:strRef>
              <c:f>'PIVOT TABLE'!$B$3</c:f>
              <c:strCache>
                <c:ptCount val="1"/>
                <c:pt idx="0">
                  <c:v>Count of Employee ID</c:v>
                </c:pt>
              </c:strCache>
            </c:strRef>
          </c:tx>
          <c:spPr>
            <a:ln w="25400" cap="rnd">
              <a:solidFill>
                <a:srgbClr val="99FFC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Information Technology</c:v>
                </c:pt>
                <c:pt idx="1">
                  <c:v>Sales</c:v>
                </c:pt>
                <c:pt idx="2">
                  <c:v>Operations</c:v>
                </c:pt>
                <c:pt idx="3">
                  <c:v>Marketing</c:v>
                </c:pt>
                <c:pt idx="4">
                  <c:v>Human Resources</c:v>
                </c:pt>
                <c:pt idx="5">
                  <c:v>Finance</c:v>
                </c:pt>
              </c:strCache>
            </c:strRef>
          </c:cat>
          <c:val>
            <c:numRef>
              <c:f>'PIVOT TABLE'!$B$4:$B$10</c:f>
              <c:numCache>
                <c:formatCode>General</c:formatCode>
                <c:ptCount val="6"/>
                <c:pt idx="0">
                  <c:v>36</c:v>
                </c:pt>
                <c:pt idx="1">
                  <c:v>31</c:v>
                </c:pt>
                <c:pt idx="2">
                  <c:v>29</c:v>
                </c:pt>
                <c:pt idx="3">
                  <c:v>19</c:v>
                </c:pt>
                <c:pt idx="4">
                  <c:v>18</c:v>
                </c:pt>
                <c:pt idx="5">
                  <c:v>17</c:v>
                </c:pt>
              </c:numCache>
            </c:numRef>
          </c:val>
          <c:smooth val="0"/>
          <c:extLst>
            <c:ext xmlns:c16="http://schemas.microsoft.com/office/drawing/2014/chart" uri="{C3380CC4-5D6E-409C-BE32-E72D297353CC}">
              <c16:uniqueId val="{00000001-B0FC-4423-9C42-A50FCB6C0383}"/>
            </c:ext>
          </c:extLst>
        </c:ser>
        <c:dLbls>
          <c:showLegendKey val="0"/>
          <c:showVal val="1"/>
          <c:showCatName val="0"/>
          <c:showSerName val="0"/>
          <c:showPercent val="0"/>
          <c:showBubbleSize val="0"/>
        </c:dLbls>
        <c:marker val="1"/>
        <c:smooth val="0"/>
        <c:axId val="1765157344"/>
        <c:axId val="1765141984"/>
      </c:lineChart>
      <c:catAx>
        <c:axId val="177189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71909184"/>
        <c:crosses val="autoZero"/>
        <c:auto val="1"/>
        <c:lblAlgn val="ctr"/>
        <c:lblOffset val="100"/>
        <c:noMultiLvlLbl val="0"/>
      </c:catAx>
      <c:valAx>
        <c:axId val="1771909184"/>
        <c:scaling>
          <c:orientation val="minMax"/>
          <c:min val="76000"/>
        </c:scaling>
        <c:delete val="0"/>
        <c:axPos val="l"/>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894304"/>
        <c:crosses val="autoZero"/>
        <c:crossBetween val="between"/>
      </c:valAx>
      <c:valAx>
        <c:axId val="1765141984"/>
        <c:scaling>
          <c:orientation val="minMax"/>
        </c:scaling>
        <c:delete val="0"/>
        <c:axPos val="r"/>
        <c:numFmt formatCode="General" sourceLinked="1"/>
        <c:majorTickMark val="out"/>
        <c:minorTickMark val="none"/>
        <c:tickLblPos val="none"/>
        <c:spPr>
          <a:noFill/>
          <a:ln>
            <a:noFill/>
          </a:ln>
          <a:effectLst/>
        </c:spPr>
        <c:txPr>
          <a:bodyPr rot="-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57344"/>
        <c:crosses val="max"/>
        <c:crossBetween val="between"/>
      </c:valAx>
      <c:catAx>
        <c:axId val="1765157344"/>
        <c:scaling>
          <c:orientation val="minMax"/>
        </c:scaling>
        <c:delete val="1"/>
        <c:axPos val="t"/>
        <c:numFmt formatCode="General" sourceLinked="1"/>
        <c:majorTickMark val="out"/>
        <c:minorTickMark val="none"/>
        <c:tickLblPos val="nextTo"/>
        <c:crossAx val="17651419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TABLE!PivotTable3</c:name>
    <c:fmtId val="16"/>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i="0" u="none" strike="noStrike" baseline="0">
                <a:effectLst/>
                <a:latin typeface="Times New Roman" panose="02020603050405020304" pitchFamily="18" charset="0"/>
                <a:cs typeface="Times New Roman" panose="02020603050405020304" pitchFamily="18" charset="0"/>
              </a:rPr>
              <a:t>Employee Performance </a:t>
            </a:r>
            <a:endParaRPr lang="en-US" sz="1600" b="1">
              <a:latin typeface="Times New Roman" panose="02020603050405020304" pitchFamily="18" charset="0"/>
              <a:cs typeface="Times New Roman" panose="02020603050405020304" pitchFamily="18" charset="0"/>
            </a:endParaRPr>
          </a:p>
        </c:rich>
      </c:tx>
      <c:layout>
        <c:manualLayout>
          <c:xMode val="edge"/>
          <c:yMode val="edge"/>
          <c:x val="0.27796394598892682"/>
          <c:y val="1.3526567990175665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33FF"/>
          </a:solidFill>
          <a:ln>
            <a:solidFill>
              <a:srgbClr val="9933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33FF"/>
          </a:solidFill>
          <a:ln>
            <a:solidFill>
              <a:srgbClr val="9933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933FF"/>
          </a:solidFill>
          <a:ln>
            <a:solidFill>
              <a:srgbClr val="9933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36571790442"/>
          <c:y val="0.11563546999853373"/>
          <c:w val="0.73585002210168515"/>
          <c:h val="0.86922790988962528"/>
        </c:manualLayout>
      </c:layout>
      <c:barChart>
        <c:barDir val="bar"/>
        <c:grouping val="clustered"/>
        <c:varyColors val="0"/>
        <c:ser>
          <c:idx val="0"/>
          <c:order val="0"/>
          <c:tx>
            <c:strRef>
              <c:f>'PIVOT TABLE'!$K$3:$K$4</c:f>
              <c:strCache>
                <c:ptCount val="1"/>
                <c:pt idx="0">
                  <c:v>Active</c:v>
                </c:pt>
              </c:strCache>
            </c:strRef>
          </c:tx>
          <c:spPr>
            <a:solidFill>
              <a:srgbClr val="99F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TABLE'!$J$5:$J$11</c:f>
              <c:strCache>
                <c:ptCount val="6"/>
                <c:pt idx="0">
                  <c:v>Marketing</c:v>
                </c:pt>
                <c:pt idx="1">
                  <c:v>Human Resources</c:v>
                </c:pt>
                <c:pt idx="2">
                  <c:v>Operations</c:v>
                </c:pt>
                <c:pt idx="3">
                  <c:v>Finance</c:v>
                </c:pt>
                <c:pt idx="4">
                  <c:v>Information Technology</c:v>
                </c:pt>
                <c:pt idx="5">
                  <c:v>Sales</c:v>
                </c:pt>
              </c:strCache>
            </c:strRef>
          </c:cat>
          <c:val>
            <c:numRef>
              <c:f>'PIVOT TABLE'!$K$5:$K$11</c:f>
              <c:numCache>
                <c:formatCode>0</c:formatCode>
                <c:ptCount val="6"/>
                <c:pt idx="0">
                  <c:v>74.6875</c:v>
                </c:pt>
                <c:pt idx="1">
                  <c:v>69.933333333333337</c:v>
                </c:pt>
                <c:pt idx="2">
                  <c:v>69.444444444444443</c:v>
                </c:pt>
                <c:pt idx="3">
                  <c:v>68.357142857142861</c:v>
                </c:pt>
                <c:pt idx="4">
                  <c:v>67.25</c:v>
                </c:pt>
                <c:pt idx="5">
                  <c:v>60.96</c:v>
                </c:pt>
              </c:numCache>
            </c:numRef>
          </c:val>
          <c:extLst>
            <c:ext xmlns:c16="http://schemas.microsoft.com/office/drawing/2014/chart" uri="{C3380CC4-5D6E-409C-BE32-E72D297353CC}">
              <c16:uniqueId val="{00000000-93BD-4231-BBB8-9A3C5B6F5AE0}"/>
            </c:ext>
          </c:extLst>
        </c:ser>
        <c:ser>
          <c:idx val="1"/>
          <c:order val="1"/>
          <c:tx>
            <c:strRef>
              <c:f>'PIVOT TABLE'!$L$3:$L$4</c:f>
              <c:strCache>
                <c:ptCount val="1"/>
                <c:pt idx="0">
                  <c:v>Left</c:v>
                </c:pt>
              </c:strCache>
            </c:strRef>
          </c:tx>
          <c:spPr>
            <a:solidFill>
              <a:srgbClr val="9933FF"/>
            </a:solidFill>
            <a:ln>
              <a:solidFill>
                <a:srgbClr val="9933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TABLE'!$J$5:$J$11</c:f>
              <c:strCache>
                <c:ptCount val="6"/>
                <c:pt idx="0">
                  <c:v>Marketing</c:v>
                </c:pt>
                <c:pt idx="1">
                  <c:v>Human Resources</c:v>
                </c:pt>
                <c:pt idx="2">
                  <c:v>Operations</c:v>
                </c:pt>
                <c:pt idx="3">
                  <c:v>Finance</c:v>
                </c:pt>
                <c:pt idx="4">
                  <c:v>Information Technology</c:v>
                </c:pt>
                <c:pt idx="5">
                  <c:v>Sales</c:v>
                </c:pt>
              </c:strCache>
            </c:strRef>
          </c:cat>
          <c:val>
            <c:numRef>
              <c:f>'PIVOT TABLE'!$L$5:$L$11</c:f>
              <c:numCache>
                <c:formatCode>0</c:formatCode>
                <c:ptCount val="6"/>
                <c:pt idx="0">
                  <c:v>65.333333333333329</c:v>
                </c:pt>
                <c:pt idx="1">
                  <c:v>71</c:v>
                </c:pt>
                <c:pt idx="2">
                  <c:v>73.833333333333329</c:v>
                </c:pt>
                <c:pt idx="3">
                  <c:v>71.666666666666671</c:v>
                </c:pt>
                <c:pt idx="4">
                  <c:v>51.833333333333336</c:v>
                </c:pt>
                <c:pt idx="5">
                  <c:v>70.5</c:v>
                </c:pt>
              </c:numCache>
            </c:numRef>
          </c:val>
          <c:extLst>
            <c:ext xmlns:c16="http://schemas.microsoft.com/office/drawing/2014/chart" uri="{C3380CC4-5D6E-409C-BE32-E72D297353CC}">
              <c16:uniqueId val="{00000001-93BD-4231-BBB8-9A3C5B6F5AE0}"/>
            </c:ext>
          </c:extLst>
        </c:ser>
        <c:dLbls>
          <c:dLblPos val="inEnd"/>
          <c:showLegendKey val="0"/>
          <c:showVal val="1"/>
          <c:showCatName val="0"/>
          <c:showSerName val="0"/>
          <c:showPercent val="0"/>
          <c:showBubbleSize val="0"/>
        </c:dLbls>
        <c:gapWidth val="219"/>
        <c:axId val="1771898144"/>
        <c:axId val="1771916384"/>
      </c:barChart>
      <c:catAx>
        <c:axId val="177189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71916384"/>
        <c:crosses val="autoZero"/>
        <c:auto val="1"/>
        <c:lblAlgn val="ctr"/>
        <c:lblOffset val="100"/>
        <c:noMultiLvlLbl val="0"/>
      </c:catAx>
      <c:valAx>
        <c:axId val="1771916384"/>
        <c:scaling>
          <c:orientation val="minMax"/>
          <c:min val="50"/>
        </c:scaling>
        <c:delete val="1"/>
        <c:axPos val="b"/>
        <c:numFmt formatCode="0" sourceLinked="1"/>
        <c:majorTickMark val="out"/>
        <c:minorTickMark val="none"/>
        <c:tickLblPos val="nextTo"/>
        <c:crossAx val="177189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TABLE!PivotTable5</c:name>
    <c:fmtId val="45"/>
  </c:pivotSource>
  <c:chart>
    <c:title>
      <c:tx>
        <c:rich>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Top</a:t>
            </a:r>
            <a:r>
              <a:rPr lang="en-US" sz="1600" b="1" baseline="0">
                <a:latin typeface="Times New Roman" panose="02020603050405020304" pitchFamily="18" charset="0"/>
                <a:cs typeface="Times New Roman" panose="02020603050405020304" pitchFamily="18" charset="0"/>
              </a:rPr>
              <a:t> Three Most Paying Department</a:t>
            </a:r>
            <a:r>
              <a:rPr lang="en-US" sz="1600" b="1">
                <a:latin typeface="Times New Roman" panose="02020603050405020304" pitchFamily="18" charset="0"/>
                <a:cs typeface="Times New Roman" panose="02020603050405020304" pitchFamily="18" charset="0"/>
              </a:rPr>
              <a:t> </a:t>
            </a:r>
          </a:p>
        </c:rich>
      </c:tx>
      <c:layout>
        <c:manualLayout>
          <c:xMode val="edge"/>
          <c:yMode val="edge"/>
          <c:x val="0.18568058155803108"/>
          <c:y val="3.1463883797542079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9FFCC"/>
          </a:solidFill>
          <a:ln w="19050">
            <a:solidFill>
              <a:srgbClr val="99FFCC"/>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CC"/>
          </a:solidFill>
          <a:ln w="19050">
            <a:solidFill>
              <a:srgbClr val="99FFCC"/>
            </a:solidFill>
          </a:ln>
          <a:effectLst/>
        </c:spPr>
      </c:pivotFmt>
      <c:pivotFmt>
        <c:idx val="7"/>
        <c:spPr>
          <a:solidFill>
            <a:srgbClr val="00CC99"/>
          </a:solidFill>
          <a:ln w="19050">
            <a:noFill/>
          </a:ln>
          <a:effectLst/>
        </c:spPr>
      </c:pivotFmt>
      <c:pivotFmt>
        <c:idx val="8"/>
        <c:spPr>
          <a:solidFill>
            <a:srgbClr val="99FFCC"/>
          </a:solidFill>
          <a:ln w="19050">
            <a:solidFill>
              <a:srgbClr val="99FFCC"/>
            </a:solidFill>
          </a:ln>
          <a:effectLst/>
        </c:spPr>
      </c:pivotFmt>
      <c:pivotFmt>
        <c:idx val="9"/>
        <c:spPr>
          <a:solidFill>
            <a:srgbClr val="99FFCC"/>
          </a:solidFill>
          <a:ln w="19050">
            <a:solidFill>
              <a:srgbClr val="99FFCC"/>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900CC"/>
          </a:solidFill>
          <a:ln w="19050">
            <a:solidFill>
              <a:srgbClr val="99FFCC"/>
            </a:solidFill>
          </a:ln>
          <a:effectLst/>
        </c:spPr>
      </c:pivotFmt>
      <c:pivotFmt>
        <c:idx val="11"/>
        <c:spPr>
          <a:solidFill>
            <a:srgbClr val="00CC99"/>
          </a:solidFill>
          <a:ln w="19050">
            <a:noFill/>
          </a:ln>
          <a:effectLst/>
        </c:spPr>
      </c:pivotFmt>
      <c:pivotFmt>
        <c:idx val="12"/>
        <c:spPr>
          <a:solidFill>
            <a:srgbClr val="99FFCC"/>
          </a:solidFill>
          <a:ln w="19050">
            <a:solidFill>
              <a:srgbClr val="99FFCC"/>
            </a:solidFill>
          </a:ln>
          <a:effectLst/>
        </c:spPr>
      </c:pivotFmt>
      <c:pivotFmt>
        <c:idx val="13"/>
        <c:spPr>
          <a:solidFill>
            <a:srgbClr val="99FFCC"/>
          </a:solidFill>
          <a:ln w="19050">
            <a:solidFill>
              <a:srgbClr val="99FFCC"/>
            </a:solid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00CC"/>
          </a:solidFill>
          <a:ln w="19050">
            <a:solidFill>
              <a:srgbClr val="99FFCC"/>
            </a:solid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
      </c:pivotFmt>
      <c:pivotFmt>
        <c:idx val="15"/>
        <c:spPr>
          <a:solidFill>
            <a:srgbClr val="00CC99"/>
          </a:solidFill>
          <a:ln w="19050">
            <a:noFill/>
          </a:ln>
          <a:effectLst/>
        </c:spPr>
      </c:pivotFmt>
      <c:pivotFmt>
        <c:idx val="16"/>
        <c:spPr>
          <a:solidFill>
            <a:srgbClr val="99FFCC"/>
          </a:solidFill>
          <a:ln w="19050">
            <a:solidFill>
              <a:srgbClr val="99FFCC"/>
            </a:solidFill>
          </a:ln>
          <a:effectLst/>
        </c:spPr>
      </c:pivotFmt>
    </c:pivotFmts>
    <c:plotArea>
      <c:layout>
        <c:manualLayout>
          <c:layoutTarget val="inner"/>
          <c:xMode val="edge"/>
          <c:yMode val="edge"/>
          <c:x val="0.24530509129874101"/>
          <c:y val="0.15918795528732207"/>
          <c:w val="0.41716971553406518"/>
          <c:h val="0.79957505015568187"/>
        </c:manualLayout>
      </c:layout>
      <c:doughnutChart>
        <c:varyColors val="1"/>
        <c:ser>
          <c:idx val="0"/>
          <c:order val="0"/>
          <c:tx>
            <c:strRef>
              <c:f>'PIVOT TABLE'!$B$13</c:f>
              <c:strCache>
                <c:ptCount val="1"/>
                <c:pt idx="0">
                  <c:v>Total</c:v>
                </c:pt>
              </c:strCache>
            </c:strRef>
          </c:tx>
          <c:spPr>
            <a:solidFill>
              <a:srgbClr val="99FFCC"/>
            </a:solidFill>
            <a:ln>
              <a:solidFill>
                <a:srgbClr val="99FFCC"/>
              </a:solidFill>
            </a:ln>
          </c:spPr>
          <c:dPt>
            <c:idx val="0"/>
            <c:bubble3D val="0"/>
            <c:spPr>
              <a:solidFill>
                <a:srgbClr val="9900CC"/>
              </a:solidFill>
              <a:ln w="19050">
                <a:solidFill>
                  <a:srgbClr val="99FFCC"/>
                </a:solidFill>
              </a:ln>
              <a:effectLst/>
            </c:spPr>
            <c:extLst>
              <c:ext xmlns:c16="http://schemas.microsoft.com/office/drawing/2014/chart" uri="{C3380CC4-5D6E-409C-BE32-E72D297353CC}">
                <c16:uniqueId val="{00000001-8127-4900-8EAD-6D3A5A299622}"/>
              </c:ext>
            </c:extLst>
          </c:dPt>
          <c:dPt>
            <c:idx val="1"/>
            <c:bubble3D val="0"/>
            <c:spPr>
              <a:solidFill>
                <a:srgbClr val="00CC99"/>
              </a:solidFill>
              <a:ln w="19050">
                <a:noFill/>
              </a:ln>
              <a:effectLst/>
            </c:spPr>
            <c:extLst>
              <c:ext xmlns:c16="http://schemas.microsoft.com/office/drawing/2014/chart" uri="{C3380CC4-5D6E-409C-BE32-E72D297353CC}">
                <c16:uniqueId val="{00000003-8127-4900-8EAD-6D3A5A299622}"/>
              </c:ext>
            </c:extLst>
          </c:dPt>
          <c:dPt>
            <c:idx val="2"/>
            <c:bubble3D val="0"/>
            <c:spPr>
              <a:solidFill>
                <a:srgbClr val="99FFCC"/>
              </a:solidFill>
              <a:ln w="19050">
                <a:solidFill>
                  <a:srgbClr val="99FFCC"/>
                </a:solidFill>
              </a:ln>
              <a:effectLst/>
            </c:spPr>
            <c:extLst>
              <c:ext xmlns:c16="http://schemas.microsoft.com/office/drawing/2014/chart" uri="{C3380CC4-5D6E-409C-BE32-E72D297353CC}">
                <c16:uniqueId val="{00000005-8127-4900-8EAD-6D3A5A299622}"/>
              </c:ext>
            </c:extLst>
          </c:dPt>
          <c:dLbls>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8127-4900-8EAD-6D3A5A299622}"/>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TABLE'!$A$14:$A$17</c:f>
              <c:strCache>
                <c:ptCount val="3"/>
                <c:pt idx="0">
                  <c:v>Finance</c:v>
                </c:pt>
                <c:pt idx="1">
                  <c:v>Human Resources</c:v>
                </c:pt>
                <c:pt idx="2">
                  <c:v>Sales</c:v>
                </c:pt>
              </c:strCache>
            </c:strRef>
          </c:cat>
          <c:val>
            <c:numRef>
              <c:f>'PIVOT TABLE'!$B$14:$B$17</c:f>
              <c:numCache>
                <c:formatCode>"$"#,##0</c:formatCode>
                <c:ptCount val="3"/>
                <c:pt idx="0">
                  <c:v>87155.23529411765</c:v>
                </c:pt>
                <c:pt idx="1">
                  <c:v>85461.611111111109</c:v>
                </c:pt>
                <c:pt idx="2">
                  <c:v>86212.06451612903</c:v>
                </c:pt>
              </c:numCache>
            </c:numRef>
          </c:val>
          <c:extLst>
            <c:ext xmlns:c16="http://schemas.microsoft.com/office/drawing/2014/chart" uri="{C3380CC4-5D6E-409C-BE32-E72D297353CC}">
              <c16:uniqueId val="{00000006-8127-4900-8EAD-6D3A5A2996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347447530151662"/>
          <c:y val="0.39043437756339755"/>
          <c:w val="0.31652548694571075"/>
          <c:h val="0.24110551181102363"/>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8100000" algn="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[HR_Capstone_Completed_Abdulasalam khadijat Ajoke.xlsx]PIVOT TABLE!PivotTable4</c:name>
    <c:fmtId val="7"/>
  </c:pivotSource>
  <c:chart>
    <c:title>
      <c:tx>
        <c:rich>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Bonus</a:t>
            </a:r>
            <a:r>
              <a:rPr lang="en-US" sz="1600" b="1" baseline="0">
                <a:latin typeface="Times New Roman" panose="02020603050405020304" pitchFamily="18" charset="0"/>
                <a:cs typeface="Times New Roman" panose="02020603050405020304" pitchFamily="18" charset="0"/>
              </a:rPr>
              <a:t> Payout by performance Band</a:t>
            </a:r>
            <a:r>
              <a:rPr lang="en-US" sz="1600" b="1">
                <a:latin typeface="Times New Roman" panose="02020603050405020304" pitchFamily="18" charset="0"/>
                <a:cs typeface="Times New Roman" panose="02020603050405020304" pitchFamily="18" charset="0"/>
              </a:rPr>
              <a:t> </a:t>
            </a:r>
          </a:p>
        </c:rich>
      </c:tx>
      <c:layout>
        <c:manualLayout>
          <c:xMode val="edge"/>
          <c:yMode val="edge"/>
          <c:x val="0.17042776535396759"/>
          <c:y val="5.3913191981385132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CC"/>
          </a:solidFill>
          <a:ln>
            <a:noFill/>
          </a:ln>
          <a:effectLst/>
        </c:spPr>
      </c:pivotFmt>
    </c:pivotFmts>
    <c:plotArea>
      <c:layout>
        <c:manualLayout>
          <c:layoutTarget val="inner"/>
          <c:xMode val="edge"/>
          <c:yMode val="edge"/>
          <c:x val="8.0112427054293958E-2"/>
          <c:y val="0.1746214611998386"/>
          <c:w val="0.84236586184752615"/>
          <c:h val="0.58984371309056405"/>
        </c:manualLayout>
      </c:layout>
      <c:barChart>
        <c:barDir val="col"/>
        <c:grouping val="clustered"/>
        <c:varyColors val="0"/>
        <c:ser>
          <c:idx val="0"/>
          <c:order val="0"/>
          <c:tx>
            <c:strRef>
              <c:f>'PIVOT TABLE'!$O$3</c:f>
              <c:strCache>
                <c:ptCount val="1"/>
                <c:pt idx="0">
                  <c:v>Total</c:v>
                </c:pt>
              </c:strCache>
            </c:strRef>
          </c:tx>
          <c:spPr>
            <a:solidFill>
              <a:srgbClr val="9900CC"/>
            </a:solidFill>
            <a:ln>
              <a:noFill/>
            </a:ln>
            <a:effectLst/>
          </c:spPr>
          <c:invertIfNegative val="0"/>
          <c:dPt>
            <c:idx val="4"/>
            <c:invertIfNegative val="0"/>
            <c:bubble3D val="0"/>
            <c:spPr>
              <a:solidFill>
                <a:srgbClr val="9900CC"/>
              </a:solidFill>
              <a:ln>
                <a:noFill/>
              </a:ln>
              <a:effectLst/>
            </c:spPr>
            <c:extLst>
              <c:ext xmlns:c16="http://schemas.microsoft.com/office/drawing/2014/chart" uri="{C3380CC4-5D6E-409C-BE32-E72D297353CC}">
                <c16:uniqueId val="{00000000-1353-4C31-8B99-4398C05EEBF9}"/>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TABLE'!$N$4:$N$9</c:f>
              <c:strCache>
                <c:ptCount val="5"/>
                <c:pt idx="0">
                  <c:v>Achieving</c:v>
                </c:pt>
                <c:pt idx="1">
                  <c:v>Exceeding</c:v>
                </c:pt>
                <c:pt idx="2">
                  <c:v>Outstanding</c:v>
                </c:pt>
                <c:pt idx="3">
                  <c:v>Developing</c:v>
                </c:pt>
                <c:pt idx="4">
                  <c:v>Needs Improvement</c:v>
                </c:pt>
              </c:strCache>
            </c:strRef>
          </c:cat>
          <c:val>
            <c:numRef>
              <c:f>'PIVOT TABLE'!$O$4:$O$9</c:f>
              <c:numCache>
                <c:formatCode>General</c:formatCode>
                <c:ptCount val="5"/>
                <c:pt idx="0">
                  <c:v>2.0500000000000007</c:v>
                </c:pt>
                <c:pt idx="1">
                  <c:v>1.7600000000000005</c:v>
                </c:pt>
                <c:pt idx="2">
                  <c:v>1.2000000000000002</c:v>
                </c:pt>
                <c:pt idx="3">
                  <c:v>0.98000000000000054</c:v>
                </c:pt>
                <c:pt idx="4">
                  <c:v>0</c:v>
                </c:pt>
              </c:numCache>
            </c:numRef>
          </c:val>
          <c:extLst>
            <c:ext xmlns:c16="http://schemas.microsoft.com/office/drawing/2014/chart" uri="{C3380CC4-5D6E-409C-BE32-E72D297353CC}">
              <c16:uniqueId val="{00000000-A951-4D30-B8C1-26483FA4020F}"/>
            </c:ext>
          </c:extLst>
        </c:ser>
        <c:dLbls>
          <c:dLblPos val="outEnd"/>
          <c:showLegendKey val="0"/>
          <c:showVal val="1"/>
          <c:showCatName val="0"/>
          <c:showSerName val="0"/>
          <c:showPercent val="0"/>
          <c:showBubbleSize val="0"/>
        </c:dLbls>
        <c:gapWidth val="219"/>
        <c:overlap val="-27"/>
        <c:axId val="1771906784"/>
        <c:axId val="1771909184"/>
      </c:barChart>
      <c:catAx>
        <c:axId val="177190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71909184"/>
        <c:crosses val="autoZero"/>
        <c:auto val="1"/>
        <c:lblAlgn val="ctr"/>
        <c:lblOffset val="100"/>
        <c:noMultiLvlLbl val="0"/>
      </c:catAx>
      <c:valAx>
        <c:axId val="1771909184"/>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719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8100000" algn="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7.xml"/><Relationship Id="rId7" Type="http://schemas.openxmlformats.org/officeDocument/2006/relationships/image" Target="../media/image2.png"/><Relationship Id="rId12" Type="http://schemas.microsoft.com/office/2007/relationships/hdphoto" Target="../media/hdphoto3.wdp"/><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11" Type="http://schemas.openxmlformats.org/officeDocument/2006/relationships/image" Target="../media/image5.png"/><Relationship Id="rId5" Type="http://schemas.openxmlformats.org/officeDocument/2006/relationships/image" Target="../media/image1.png"/><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15</xdr:row>
      <xdr:rowOff>76200</xdr:rowOff>
    </xdr:to>
    <xdr:graphicFrame macro="">
      <xdr:nvGraphicFramePr>
        <xdr:cNvPr id="2" name="Chart 1">
          <a:extLst>
            <a:ext uri="{FF2B5EF4-FFF2-40B4-BE49-F238E27FC236}">
              <a16:creationId xmlns:a16="http://schemas.microsoft.com/office/drawing/2014/main" id="{68E95DD5-5125-4ED7-8AB2-4EB5520EB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15</xdr:col>
      <xdr:colOff>304800</xdr:colOff>
      <xdr:row>15</xdr:row>
      <xdr:rowOff>76200</xdr:rowOff>
    </xdr:to>
    <xdr:graphicFrame macro="">
      <xdr:nvGraphicFramePr>
        <xdr:cNvPr id="3" name="Chart 2">
          <a:extLst>
            <a:ext uri="{FF2B5EF4-FFF2-40B4-BE49-F238E27FC236}">
              <a16:creationId xmlns:a16="http://schemas.microsoft.com/office/drawing/2014/main" id="{FC6BDEA3-BF16-4733-B1F4-F372B35F3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361950</xdr:colOff>
      <xdr:row>30</xdr:row>
      <xdr:rowOff>76200</xdr:rowOff>
    </xdr:to>
    <xdr:graphicFrame macro="">
      <xdr:nvGraphicFramePr>
        <xdr:cNvPr id="4" name="Chart 3">
          <a:extLst>
            <a:ext uri="{FF2B5EF4-FFF2-40B4-BE49-F238E27FC236}">
              <a16:creationId xmlns:a16="http://schemas.microsoft.com/office/drawing/2014/main" id="{AC2C7B46-6B2F-4B47-93C9-C6CD9433F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571499</xdr:colOff>
      <xdr:row>16</xdr:row>
      <xdr:rowOff>19050</xdr:rowOff>
    </xdr:from>
    <xdr:to>
      <xdr:col>13</xdr:col>
      <xdr:colOff>552449</xdr:colOff>
      <xdr:row>30</xdr:row>
      <xdr:rowOff>95250</xdr:rowOff>
    </xdr:to>
    <xdr:graphicFrame macro="">
      <xdr:nvGraphicFramePr>
        <xdr:cNvPr id="7" name="Chart 6">
          <a:extLst>
            <a:ext uri="{FF2B5EF4-FFF2-40B4-BE49-F238E27FC236}">
              <a16:creationId xmlns:a16="http://schemas.microsoft.com/office/drawing/2014/main" id="{D7F89AA8-D14D-42A0-90AD-BFA76529D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381000</xdr:colOff>
      <xdr:row>40</xdr:row>
      <xdr:rowOff>56585</xdr:rowOff>
    </xdr:to>
    <xdr:sp macro="" textlink="">
      <xdr:nvSpPr>
        <xdr:cNvPr id="2" name="Rectangle 1">
          <a:extLst>
            <a:ext uri="{FF2B5EF4-FFF2-40B4-BE49-F238E27FC236}">
              <a16:creationId xmlns:a16="http://schemas.microsoft.com/office/drawing/2014/main" id="{77291EFC-4390-1D35-DFBC-E4CCB1E211E1}"/>
            </a:ext>
          </a:extLst>
        </xdr:cNvPr>
        <xdr:cNvSpPr/>
      </xdr:nvSpPr>
      <xdr:spPr>
        <a:xfrm>
          <a:off x="0" y="0"/>
          <a:ext cx="11414911" cy="7601139"/>
        </a:xfrm>
        <a:prstGeom prst="rect">
          <a:avLst/>
        </a:prstGeom>
        <a:solidFill>
          <a:srgbClr val="9900CC"/>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3</xdr:row>
      <xdr:rowOff>174625</xdr:rowOff>
    </xdr:from>
    <xdr:to>
      <xdr:col>27</xdr:col>
      <xdr:colOff>587375</xdr:colOff>
      <xdr:row>4</xdr:row>
      <xdr:rowOff>57150</xdr:rowOff>
    </xdr:to>
    <xdr:cxnSp macro="">
      <xdr:nvCxnSpPr>
        <xdr:cNvPr id="4" name="Straight Connector 3">
          <a:extLst>
            <a:ext uri="{FF2B5EF4-FFF2-40B4-BE49-F238E27FC236}">
              <a16:creationId xmlns:a16="http://schemas.microsoft.com/office/drawing/2014/main" id="{76A7555F-6F9D-A369-551C-3502CB5AA5A1}"/>
            </a:ext>
          </a:extLst>
        </xdr:cNvPr>
        <xdr:cNvCxnSpPr/>
      </xdr:nvCxnSpPr>
      <xdr:spPr>
        <a:xfrm flipV="1">
          <a:off x="19050" y="746125"/>
          <a:ext cx="16856075" cy="730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63500</xdr:rowOff>
    </xdr:from>
    <xdr:to>
      <xdr:col>27</xdr:col>
      <xdr:colOff>587375</xdr:colOff>
      <xdr:row>0</xdr:row>
      <xdr:rowOff>114300</xdr:rowOff>
    </xdr:to>
    <xdr:cxnSp macro="">
      <xdr:nvCxnSpPr>
        <xdr:cNvPr id="11" name="Straight Connector 10">
          <a:extLst>
            <a:ext uri="{FF2B5EF4-FFF2-40B4-BE49-F238E27FC236}">
              <a16:creationId xmlns:a16="http://schemas.microsoft.com/office/drawing/2014/main" id="{FD2498F3-A703-452E-AEB2-9A4D47E3E083}"/>
            </a:ext>
          </a:extLst>
        </xdr:cNvPr>
        <xdr:cNvCxnSpPr/>
      </xdr:nvCxnSpPr>
      <xdr:spPr>
        <a:xfrm flipV="1">
          <a:off x="0" y="63500"/>
          <a:ext cx="16875125" cy="5080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69273</xdr:colOff>
      <xdr:row>0</xdr:row>
      <xdr:rowOff>148167</xdr:rowOff>
    </xdr:from>
    <xdr:to>
      <xdr:col>10</xdr:col>
      <xdr:colOff>381000</xdr:colOff>
      <xdr:row>4</xdr:row>
      <xdr:rowOff>9525</xdr:rowOff>
    </xdr:to>
    <xdr:sp macro="" textlink="">
      <xdr:nvSpPr>
        <xdr:cNvPr id="17" name="Rectangle: Rounded Corners 16">
          <a:extLst>
            <a:ext uri="{FF2B5EF4-FFF2-40B4-BE49-F238E27FC236}">
              <a16:creationId xmlns:a16="http://schemas.microsoft.com/office/drawing/2014/main" id="{F7833F35-3653-1A0C-D9F0-55750977AFEB}"/>
            </a:ext>
          </a:extLst>
        </xdr:cNvPr>
        <xdr:cNvSpPr/>
      </xdr:nvSpPr>
      <xdr:spPr>
        <a:xfrm>
          <a:off x="69273" y="148167"/>
          <a:ext cx="6407727" cy="623358"/>
        </a:xfrm>
        <a:prstGeom prst="roundRect">
          <a:avLst>
            <a:gd name="adj" fmla="val 773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Executive</a:t>
          </a:r>
          <a:r>
            <a:rPr lang="en-US" sz="2400" b="1" baseline="0">
              <a:solidFill>
                <a:schemeClr val="tx1"/>
              </a:solidFill>
              <a:latin typeface="Times New Roman" panose="02020603050405020304" pitchFamily="18" charset="0"/>
              <a:cs typeface="Times New Roman" panose="02020603050405020304" pitchFamily="18" charset="0"/>
            </a:rPr>
            <a:t> - HR Analytics Dashboard</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590077</xdr:colOff>
      <xdr:row>4</xdr:row>
      <xdr:rowOff>88789</xdr:rowOff>
    </xdr:from>
    <xdr:to>
      <xdr:col>18</xdr:col>
      <xdr:colOff>299357</xdr:colOff>
      <xdr:row>8</xdr:row>
      <xdr:rowOff>68036</xdr:rowOff>
    </xdr:to>
    <xdr:sp macro="" textlink="">
      <xdr:nvSpPr>
        <xdr:cNvPr id="21" name="Rectangle: Rounded Corners 20">
          <a:extLst>
            <a:ext uri="{FF2B5EF4-FFF2-40B4-BE49-F238E27FC236}">
              <a16:creationId xmlns:a16="http://schemas.microsoft.com/office/drawing/2014/main" id="{408F288F-F10B-3146-79DD-23F9ACA06B69}"/>
            </a:ext>
          </a:extLst>
        </xdr:cNvPr>
        <xdr:cNvSpPr/>
      </xdr:nvSpPr>
      <xdr:spPr>
        <a:xfrm>
          <a:off x="8550256" y="850789"/>
          <a:ext cx="2770887" cy="741247"/>
        </a:xfrm>
        <a:prstGeom prst="roundRect">
          <a:avLst>
            <a:gd name="adj" fmla="val 885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216478</xdr:colOff>
      <xdr:row>8</xdr:row>
      <xdr:rowOff>115508</xdr:rowOff>
    </xdr:from>
    <xdr:to>
      <xdr:col>18</xdr:col>
      <xdr:colOff>326571</xdr:colOff>
      <xdr:row>23</xdr:row>
      <xdr:rowOff>189591</xdr:rowOff>
    </xdr:to>
    <xdr:sp macro="" textlink="">
      <xdr:nvSpPr>
        <xdr:cNvPr id="25" name="Rectangle: Rounded Corners 24">
          <a:extLst>
            <a:ext uri="{FF2B5EF4-FFF2-40B4-BE49-F238E27FC236}">
              <a16:creationId xmlns:a16="http://schemas.microsoft.com/office/drawing/2014/main" id="{47836E4B-9CBC-0246-23A4-283DF3D1C78E}"/>
            </a:ext>
          </a:extLst>
        </xdr:cNvPr>
        <xdr:cNvSpPr/>
      </xdr:nvSpPr>
      <xdr:spPr>
        <a:xfrm>
          <a:off x="5671705" y="1639508"/>
          <a:ext cx="5565321" cy="2931583"/>
        </a:xfrm>
        <a:prstGeom prst="roundRect">
          <a:avLst>
            <a:gd name="adj" fmla="val 274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8</xdr:row>
      <xdr:rowOff>149679</xdr:rowOff>
    </xdr:from>
    <xdr:to>
      <xdr:col>18</xdr:col>
      <xdr:colOff>272143</xdr:colOff>
      <xdr:row>23</xdr:row>
      <xdr:rowOff>136071</xdr:rowOff>
    </xdr:to>
    <xdr:graphicFrame macro="">
      <xdr:nvGraphicFramePr>
        <xdr:cNvPr id="31" name="Chart 30">
          <a:extLst>
            <a:ext uri="{FF2B5EF4-FFF2-40B4-BE49-F238E27FC236}">
              <a16:creationId xmlns:a16="http://schemas.microsoft.com/office/drawing/2014/main" id="{1C4F6982-1203-4A35-891C-0E1E23EF8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599318</xdr:colOff>
      <xdr:row>4</xdr:row>
      <xdr:rowOff>151518</xdr:rowOff>
    </xdr:from>
    <xdr:to>
      <xdr:col>16</xdr:col>
      <xdr:colOff>504068</xdr:colOff>
      <xdr:row>6</xdr:row>
      <xdr:rowOff>56268</xdr:rowOff>
    </xdr:to>
    <xdr:sp macro="" textlink="'PIVOT TABLE'!H15">
      <xdr:nvSpPr>
        <xdr:cNvPr id="35" name="TextBox 34">
          <a:extLst>
            <a:ext uri="{FF2B5EF4-FFF2-40B4-BE49-F238E27FC236}">
              <a16:creationId xmlns:a16="http://schemas.microsoft.com/office/drawing/2014/main" id="{D7B1BEF1-0C7A-1ABE-A27E-107642418D32}"/>
            </a:ext>
          </a:extLst>
        </xdr:cNvPr>
        <xdr:cNvSpPr txBox="1"/>
      </xdr:nvSpPr>
      <xdr:spPr>
        <a:xfrm>
          <a:off x="9085227" y="913518"/>
          <a:ext cx="111702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061288-6822-4AA1-8D37-3E68F24BE593}" type="TxLink">
            <a:rPr lang="en-US" sz="32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6</a:t>
          </a:fld>
          <a:endParaRPr lang="en-US" sz="32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404310</xdr:colOff>
      <xdr:row>6</xdr:row>
      <xdr:rowOff>132361</xdr:rowOff>
    </xdr:from>
    <xdr:to>
      <xdr:col>17</xdr:col>
      <xdr:colOff>327809</xdr:colOff>
      <xdr:row>7</xdr:row>
      <xdr:rowOff>145967</xdr:rowOff>
    </xdr:to>
    <xdr:sp macro="" textlink="">
      <xdr:nvSpPr>
        <xdr:cNvPr id="39" name="TextBox 38">
          <a:extLst>
            <a:ext uri="{FF2B5EF4-FFF2-40B4-BE49-F238E27FC236}">
              <a16:creationId xmlns:a16="http://schemas.microsoft.com/office/drawing/2014/main" id="{B8FFD95F-8E71-DCAF-3EE6-F5322A037D5D}"/>
            </a:ext>
          </a:extLst>
        </xdr:cNvPr>
        <xdr:cNvSpPr txBox="1"/>
      </xdr:nvSpPr>
      <xdr:spPr>
        <a:xfrm>
          <a:off x="8890219" y="1275361"/>
          <a:ext cx="1741908" cy="204106"/>
        </a:xfrm>
        <a:prstGeom prst="rect">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7030A0"/>
              </a:solidFill>
              <a:latin typeface="Times New Roman" panose="02020603050405020304" pitchFamily="18" charset="0"/>
              <a:cs typeface="Times New Roman" panose="02020603050405020304" pitchFamily="18" charset="0"/>
            </a:rPr>
            <a:t>Average</a:t>
          </a:r>
          <a:r>
            <a:rPr lang="en-US" sz="1100" b="1" baseline="0">
              <a:solidFill>
                <a:srgbClr val="7030A0"/>
              </a:solidFill>
              <a:latin typeface="Times New Roman" panose="02020603050405020304" pitchFamily="18" charset="0"/>
              <a:cs typeface="Times New Roman" panose="02020603050405020304" pitchFamily="18" charset="0"/>
            </a:rPr>
            <a:t> years of  Service</a:t>
          </a:r>
          <a:endParaRPr lang="en-US" sz="1100" b="1">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435429</xdr:colOff>
      <xdr:row>0</xdr:row>
      <xdr:rowOff>149680</xdr:rowOff>
    </xdr:from>
    <xdr:to>
      <xdr:col>13</xdr:col>
      <xdr:colOff>204107</xdr:colOff>
      <xdr:row>3</xdr:row>
      <xdr:rowOff>185554</xdr:rowOff>
    </xdr:to>
    <mc:AlternateContent xmlns:mc="http://schemas.openxmlformats.org/markup-compatibility/2006" xmlns:a14="http://schemas.microsoft.com/office/drawing/2010/main">
      <mc:Choice Requires="a14">
        <xdr:graphicFrame macro="">
          <xdr:nvGraphicFramePr>
            <xdr:cNvPr id="46" name="Dept Code">
              <a:extLst>
                <a:ext uri="{FF2B5EF4-FFF2-40B4-BE49-F238E27FC236}">
                  <a16:creationId xmlns:a16="http://schemas.microsoft.com/office/drawing/2014/main" id="{F93DC822-1004-4145-B444-AD710EF4F8B8}"/>
                </a:ext>
              </a:extLst>
            </xdr:cNvPr>
            <xdr:cNvGraphicFramePr/>
          </xdr:nvGraphicFramePr>
          <xdr:xfrm>
            <a:off x="0" y="0"/>
            <a:ext cx="0" cy="0"/>
          </xdr:xfrm>
          <a:graphic>
            <a:graphicData uri="http://schemas.microsoft.com/office/drawing/2010/slicer">
              <sle:slicer xmlns:sle="http://schemas.microsoft.com/office/drawing/2010/slicer" name="Dept Code"/>
            </a:graphicData>
          </a:graphic>
        </xdr:graphicFrame>
      </mc:Choice>
      <mc:Fallback xmlns="">
        <xdr:sp macro="" textlink="">
          <xdr:nvSpPr>
            <xdr:cNvPr id="0" name=""/>
            <xdr:cNvSpPr>
              <a:spLocks noTextEdit="1"/>
            </xdr:cNvSpPr>
          </xdr:nvSpPr>
          <xdr:spPr>
            <a:xfrm>
              <a:off x="6496793" y="149680"/>
              <a:ext cx="1587087" cy="60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244929</xdr:colOff>
      <xdr:row>0</xdr:row>
      <xdr:rowOff>149679</xdr:rowOff>
    </xdr:from>
    <xdr:to>
      <xdr:col>15</xdr:col>
      <xdr:colOff>585109</xdr:colOff>
      <xdr:row>3</xdr:row>
      <xdr:rowOff>176895</xdr:rowOff>
    </xdr:to>
    <mc:AlternateContent xmlns:mc="http://schemas.openxmlformats.org/markup-compatibility/2006" xmlns:a14="http://schemas.microsoft.com/office/drawing/2010/main">
      <mc:Choice Requires="a14">
        <xdr:graphicFrame macro="">
          <xdr:nvGraphicFramePr>
            <xdr:cNvPr id="47" name="Employment status ">
              <a:extLst>
                <a:ext uri="{FF2B5EF4-FFF2-40B4-BE49-F238E27FC236}">
                  <a16:creationId xmlns:a16="http://schemas.microsoft.com/office/drawing/2014/main" id="{A18D4E64-DE53-4AAF-BBA8-051928D8C2C4}"/>
                </a:ext>
              </a:extLst>
            </xdr:cNvPr>
            <xdr:cNvGraphicFramePr/>
          </xdr:nvGraphicFramePr>
          <xdr:xfrm>
            <a:off x="0" y="0"/>
            <a:ext cx="0" cy="0"/>
          </xdr:xfrm>
          <a:graphic>
            <a:graphicData uri="http://schemas.microsoft.com/office/drawing/2010/slicer">
              <sle:slicer xmlns:sle="http://schemas.microsoft.com/office/drawing/2010/slicer" name="Employment status "/>
            </a:graphicData>
          </a:graphic>
        </xdr:graphicFrame>
      </mc:Choice>
      <mc:Fallback xmlns="">
        <xdr:sp macro="" textlink="">
          <xdr:nvSpPr>
            <xdr:cNvPr id="0" name=""/>
            <xdr:cNvSpPr>
              <a:spLocks noTextEdit="1"/>
            </xdr:cNvSpPr>
          </xdr:nvSpPr>
          <xdr:spPr>
            <a:xfrm>
              <a:off x="8124702" y="149679"/>
              <a:ext cx="1552452" cy="598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13609</xdr:colOff>
      <xdr:row>0</xdr:row>
      <xdr:rowOff>163286</xdr:rowOff>
    </xdr:from>
    <xdr:to>
      <xdr:col>18</xdr:col>
      <xdr:colOff>299358</xdr:colOff>
      <xdr:row>3</xdr:row>
      <xdr:rowOff>171944</xdr:rowOff>
    </xdr:to>
    <mc:AlternateContent xmlns:mc="http://schemas.openxmlformats.org/markup-compatibility/2006" xmlns:a14="http://schemas.microsoft.com/office/drawing/2010/main">
      <mc:Choice Requires="a14">
        <xdr:graphicFrame macro="">
          <xdr:nvGraphicFramePr>
            <xdr:cNvPr id="49" name="Performance Band">
              <a:extLst>
                <a:ext uri="{FF2B5EF4-FFF2-40B4-BE49-F238E27FC236}">
                  <a16:creationId xmlns:a16="http://schemas.microsoft.com/office/drawing/2014/main" id="{CD5DF28E-64CA-410E-8DC0-DDFB6BDDDCE2}"/>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9711791" y="163286"/>
              <a:ext cx="1498022" cy="580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207818</xdr:colOff>
      <xdr:row>4</xdr:row>
      <xdr:rowOff>91509</xdr:rowOff>
    </xdr:from>
    <xdr:to>
      <xdr:col>13</xdr:col>
      <xdr:colOff>538347</xdr:colOff>
      <xdr:row>8</xdr:row>
      <xdr:rowOff>70756</xdr:rowOff>
    </xdr:to>
    <xdr:sp macro="" textlink="">
      <xdr:nvSpPr>
        <xdr:cNvPr id="8" name="Rectangle: Rounded Corners 7">
          <a:extLst>
            <a:ext uri="{FF2B5EF4-FFF2-40B4-BE49-F238E27FC236}">
              <a16:creationId xmlns:a16="http://schemas.microsoft.com/office/drawing/2014/main" id="{54639EB1-B8F5-7CAD-779C-69D819DF8BD3}"/>
            </a:ext>
          </a:extLst>
        </xdr:cNvPr>
        <xdr:cNvSpPr/>
      </xdr:nvSpPr>
      <xdr:spPr>
        <a:xfrm>
          <a:off x="5663045" y="853509"/>
          <a:ext cx="2755075" cy="741247"/>
        </a:xfrm>
        <a:prstGeom prst="roundRect">
          <a:avLst>
            <a:gd name="adj" fmla="val 885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516683</xdr:colOff>
      <xdr:row>4</xdr:row>
      <xdr:rowOff>161661</xdr:rowOff>
    </xdr:from>
    <xdr:to>
      <xdr:col>12</xdr:col>
      <xdr:colOff>421433</xdr:colOff>
      <xdr:row>6</xdr:row>
      <xdr:rowOff>66411</xdr:rowOff>
    </xdr:to>
    <xdr:sp macro="" textlink="'PIVOT TABLE'!H11">
      <xdr:nvSpPr>
        <xdr:cNvPr id="9" name="TextBox 8">
          <a:extLst>
            <a:ext uri="{FF2B5EF4-FFF2-40B4-BE49-F238E27FC236}">
              <a16:creationId xmlns:a16="http://schemas.microsoft.com/office/drawing/2014/main" id="{9EEC3B06-6671-D0C1-461D-4A50C674D2BE}"/>
            </a:ext>
          </a:extLst>
        </xdr:cNvPr>
        <xdr:cNvSpPr txBox="1"/>
      </xdr:nvSpPr>
      <xdr:spPr>
        <a:xfrm>
          <a:off x="6578047" y="923661"/>
          <a:ext cx="11170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936586-3B2F-42FC-AC86-0277D7766B50}" type="TxLink">
            <a:rPr lang="en-US" sz="32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16%</a:t>
          </a:fld>
          <a:endParaRPr lang="en-US" sz="32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193027</xdr:colOff>
      <xdr:row>6</xdr:row>
      <xdr:rowOff>161059</xdr:rowOff>
    </xdr:from>
    <xdr:to>
      <xdr:col>13</xdr:col>
      <xdr:colOff>116525</xdr:colOff>
      <xdr:row>7</xdr:row>
      <xdr:rowOff>174665</xdr:rowOff>
    </xdr:to>
    <xdr:sp macro="" textlink="">
      <xdr:nvSpPr>
        <xdr:cNvPr id="10" name="TextBox 9">
          <a:extLst>
            <a:ext uri="{FF2B5EF4-FFF2-40B4-BE49-F238E27FC236}">
              <a16:creationId xmlns:a16="http://schemas.microsoft.com/office/drawing/2014/main" id="{34695669-F0FD-3163-2E95-7ACF6FF93877}"/>
            </a:ext>
          </a:extLst>
        </xdr:cNvPr>
        <xdr:cNvSpPr txBox="1"/>
      </xdr:nvSpPr>
      <xdr:spPr>
        <a:xfrm>
          <a:off x="6254391" y="1304059"/>
          <a:ext cx="1741907" cy="204106"/>
        </a:xfrm>
        <a:prstGeom prst="rect">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7030A0"/>
              </a:solidFill>
              <a:latin typeface="Times New Roman" panose="02020603050405020304" pitchFamily="18" charset="0"/>
              <a:cs typeface="Times New Roman" panose="02020603050405020304" pitchFamily="18" charset="0"/>
            </a:rPr>
            <a:t>Total Attrition</a:t>
          </a:r>
          <a:r>
            <a:rPr lang="en-US" sz="1100" b="1" baseline="0">
              <a:solidFill>
                <a:srgbClr val="7030A0"/>
              </a:solidFill>
              <a:latin typeface="Times New Roman" panose="02020603050405020304" pitchFamily="18" charset="0"/>
              <a:cs typeface="Times New Roman" panose="02020603050405020304" pitchFamily="18" charset="0"/>
            </a:rPr>
            <a:t> Rate</a:t>
          </a:r>
          <a:endParaRPr lang="en-US" sz="1100" b="1">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442130</xdr:colOff>
      <xdr:row>4</xdr:row>
      <xdr:rowOff>102889</xdr:rowOff>
    </xdr:from>
    <xdr:to>
      <xdr:col>9</xdr:col>
      <xdr:colOff>151410</xdr:colOff>
      <xdr:row>8</xdr:row>
      <xdr:rowOff>82136</xdr:rowOff>
    </xdr:to>
    <xdr:sp macro="" textlink="">
      <xdr:nvSpPr>
        <xdr:cNvPr id="12" name="Rectangle: Rounded Corners 11">
          <a:extLst>
            <a:ext uri="{FF2B5EF4-FFF2-40B4-BE49-F238E27FC236}">
              <a16:creationId xmlns:a16="http://schemas.microsoft.com/office/drawing/2014/main" id="{048F230B-24ED-C463-20EF-FDFA11B1293A}"/>
            </a:ext>
          </a:extLst>
        </xdr:cNvPr>
        <xdr:cNvSpPr/>
      </xdr:nvSpPr>
      <xdr:spPr>
        <a:xfrm>
          <a:off x="2866675" y="864889"/>
          <a:ext cx="2739962" cy="741247"/>
        </a:xfrm>
        <a:prstGeom prst="roundRect">
          <a:avLst>
            <a:gd name="adj" fmla="val 885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594864</xdr:colOff>
      <xdr:row>4</xdr:row>
      <xdr:rowOff>156959</xdr:rowOff>
    </xdr:from>
    <xdr:to>
      <xdr:col>7</xdr:col>
      <xdr:colOff>499614</xdr:colOff>
      <xdr:row>6</xdr:row>
      <xdr:rowOff>61709</xdr:rowOff>
    </xdr:to>
    <xdr:sp macro="" textlink="'PIVOT TABLE'!D17">
      <xdr:nvSpPr>
        <xdr:cNvPr id="13" name="TextBox 12">
          <a:extLst>
            <a:ext uri="{FF2B5EF4-FFF2-40B4-BE49-F238E27FC236}">
              <a16:creationId xmlns:a16="http://schemas.microsoft.com/office/drawing/2014/main" id="{178701F6-65E8-AF4E-8ED5-C4A9479787A7}"/>
            </a:ext>
          </a:extLst>
        </xdr:cNvPr>
        <xdr:cNvSpPr txBox="1"/>
      </xdr:nvSpPr>
      <xdr:spPr>
        <a:xfrm>
          <a:off x="3625546" y="918959"/>
          <a:ext cx="111702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1C97CF-2FC4-4988-8492-7C20D5845A8E}" type="TxLink">
            <a:rPr lang="en-US" sz="32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$84K</a:t>
          </a:fld>
          <a:endParaRPr lang="en-US" sz="32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256363</xdr:colOff>
      <xdr:row>6</xdr:row>
      <xdr:rowOff>169965</xdr:rowOff>
    </xdr:from>
    <xdr:to>
      <xdr:col>8</xdr:col>
      <xdr:colOff>179862</xdr:colOff>
      <xdr:row>7</xdr:row>
      <xdr:rowOff>183571</xdr:rowOff>
    </xdr:to>
    <xdr:sp macro="" textlink="">
      <xdr:nvSpPr>
        <xdr:cNvPr id="14" name="TextBox 13">
          <a:extLst>
            <a:ext uri="{FF2B5EF4-FFF2-40B4-BE49-F238E27FC236}">
              <a16:creationId xmlns:a16="http://schemas.microsoft.com/office/drawing/2014/main" id="{A9C664B1-DADC-C7C1-0F7B-F317C79885C3}"/>
            </a:ext>
          </a:extLst>
        </xdr:cNvPr>
        <xdr:cNvSpPr txBox="1"/>
      </xdr:nvSpPr>
      <xdr:spPr>
        <a:xfrm>
          <a:off x="3287045" y="1312965"/>
          <a:ext cx="1741908" cy="204106"/>
        </a:xfrm>
        <a:prstGeom prst="rect">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7030A0"/>
              </a:solidFill>
              <a:latin typeface="Times New Roman" panose="02020603050405020304" pitchFamily="18" charset="0"/>
              <a:cs typeface="Times New Roman" panose="02020603050405020304" pitchFamily="18" charset="0"/>
            </a:rPr>
            <a:t>Average Salary</a:t>
          </a:r>
        </a:p>
      </xdr:txBody>
    </xdr:sp>
    <xdr:clientData/>
  </xdr:twoCellAnchor>
  <xdr:twoCellAnchor>
    <xdr:from>
      <xdr:col>0</xdr:col>
      <xdr:colOff>67563</xdr:colOff>
      <xdr:row>4</xdr:row>
      <xdr:rowOff>83344</xdr:rowOff>
    </xdr:from>
    <xdr:to>
      <xdr:col>4</xdr:col>
      <xdr:colOff>389164</xdr:colOff>
      <xdr:row>8</xdr:row>
      <xdr:rowOff>62591</xdr:rowOff>
    </xdr:to>
    <xdr:sp macro="" textlink="">
      <xdr:nvSpPr>
        <xdr:cNvPr id="15" name="Rectangle: Rounded Corners 14">
          <a:extLst>
            <a:ext uri="{FF2B5EF4-FFF2-40B4-BE49-F238E27FC236}">
              <a16:creationId xmlns:a16="http://schemas.microsoft.com/office/drawing/2014/main" id="{4F60B412-8851-C197-197E-7C280A79B300}"/>
            </a:ext>
          </a:extLst>
        </xdr:cNvPr>
        <xdr:cNvSpPr/>
      </xdr:nvSpPr>
      <xdr:spPr>
        <a:xfrm>
          <a:off x="67563" y="845344"/>
          <a:ext cx="2770887" cy="741247"/>
        </a:xfrm>
        <a:prstGeom prst="roundRect">
          <a:avLst>
            <a:gd name="adj" fmla="val 8854"/>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267303</xdr:colOff>
      <xdr:row>4</xdr:row>
      <xdr:rowOff>158444</xdr:rowOff>
    </xdr:from>
    <xdr:to>
      <xdr:col>3</xdr:col>
      <xdr:colOff>172053</xdr:colOff>
      <xdr:row>6</xdr:row>
      <xdr:rowOff>63194</xdr:rowOff>
    </xdr:to>
    <xdr:sp macro="" textlink="'PIVOT TABLE'!D15">
      <xdr:nvSpPr>
        <xdr:cNvPr id="16" name="TextBox 15">
          <a:extLst>
            <a:ext uri="{FF2B5EF4-FFF2-40B4-BE49-F238E27FC236}">
              <a16:creationId xmlns:a16="http://schemas.microsoft.com/office/drawing/2014/main" id="{727CAB9E-17F5-C852-051F-69DB599599EB}"/>
            </a:ext>
          </a:extLst>
        </xdr:cNvPr>
        <xdr:cNvSpPr txBox="1"/>
      </xdr:nvSpPr>
      <xdr:spPr>
        <a:xfrm>
          <a:off x="879624" y="920444"/>
          <a:ext cx="112939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F2700B-B378-440B-B388-8EF983D775F4}" type="TxLink">
            <a:rPr lang="en-US" sz="3200" b="1" i="0" u="none" strike="noStrike">
              <a:solidFill>
                <a:srgbClr val="000000"/>
              </a:solidFill>
              <a:latin typeface="Times New Roman" panose="02020603050405020304" pitchFamily="18" charset="0"/>
              <a:ea typeface="+mn-ea"/>
              <a:cs typeface="Times New Roman" panose="02020603050405020304" pitchFamily="18" charset="0"/>
            </a:rPr>
            <a:pPr marL="0" indent="0" algn="ctr"/>
            <a:t>150</a:t>
          </a:fld>
          <a:endParaRPr lang="en-US" sz="3200" b="1" i="0" u="none" strike="noStrike">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544286</xdr:colOff>
      <xdr:row>6</xdr:row>
      <xdr:rowOff>144234</xdr:rowOff>
    </xdr:from>
    <xdr:to>
      <xdr:col>3</xdr:col>
      <xdr:colOff>498021</xdr:colOff>
      <xdr:row>7</xdr:row>
      <xdr:rowOff>190499</xdr:rowOff>
    </xdr:to>
    <xdr:sp macro="" textlink="">
      <xdr:nvSpPr>
        <xdr:cNvPr id="28" name="TextBox 27">
          <a:extLst>
            <a:ext uri="{FF2B5EF4-FFF2-40B4-BE49-F238E27FC236}">
              <a16:creationId xmlns:a16="http://schemas.microsoft.com/office/drawing/2014/main" id="{9C444F41-9D4D-EBE5-E8EA-397C0E69A6B5}"/>
            </a:ext>
          </a:extLst>
        </xdr:cNvPr>
        <xdr:cNvSpPr txBox="1"/>
      </xdr:nvSpPr>
      <xdr:spPr>
        <a:xfrm>
          <a:off x="544286" y="1287234"/>
          <a:ext cx="1790699" cy="236765"/>
        </a:xfrm>
        <a:prstGeom prst="rect">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7030A0"/>
              </a:solidFill>
              <a:latin typeface="Times New Roman" panose="02020603050405020304" pitchFamily="18" charset="0"/>
              <a:cs typeface="Times New Roman" panose="02020603050405020304" pitchFamily="18" charset="0"/>
            </a:rPr>
            <a:t>Total</a:t>
          </a:r>
          <a:r>
            <a:rPr lang="en-US" sz="1100" b="1" baseline="0">
              <a:solidFill>
                <a:srgbClr val="7030A0"/>
              </a:solidFill>
              <a:latin typeface="Times New Roman" panose="02020603050405020304" pitchFamily="18" charset="0"/>
              <a:cs typeface="Times New Roman" panose="02020603050405020304" pitchFamily="18" charset="0"/>
            </a:rPr>
            <a:t> No of Employee</a:t>
          </a:r>
          <a:endParaRPr lang="en-US" sz="1100" b="1">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54428</xdr:colOff>
      <xdr:row>8</xdr:row>
      <xdr:rowOff>118229</xdr:rowOff>
    </xdr:from>
    <xdr:to>
      <xdr:col>9</xdr:col>
      <xdr:colOff>173182</xdr:colOff>
      <xdr:row>24</xdr:row>
      <xdr:rowOff>1812</xdr:rowOff>
    </xdr:to>
    <xdr:sp macro="" textlink="">
      <xdr:nvSpPr>
        <xdr:cNvPr id="29" name="Rectangle: Rounded Corners 28">
          <a:extLst>
            <a:ext uri="{FF2B5EF4-FFF2-40B4-BE49-F238E27FC236}">
              <a16:creationId xmlns:a16="http://schemas.microsoft.com/office/drawing/2014/main" id="{6892CC37-C3B9-9703-A89D-6BB225A9272C}"/>
            </a:ext>
          </a:extLst>
        </xdr:cNvPr>
        <xdr:cNvSpPr/>
      </xdr:nvSpPr>
      <xdr:spPr>
        <a:xfrm>
          <a:off x="54428" y="1642229"/>
          <a:ext cx="5573981" cy="2931583"/>
        </a:xfrm>
        <a:prstGeom prst="roundRect">
          <a:avLst>
            <a:gd name="adj" fmla="val 274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108858</xdr:colOff>
      <xdr:row>8</xdr:row>
      <xdr:rowOff>163284</xdr:rowOff>
    </xdr:from>
    <xdr:to>
      <xdr:col>9</xdr:col>
      <xdr:colOff>112568</xdr:colOff>
      <xdr:row>23</xdr:row>
      <xdr:rowOff>122463</xdr:rowOff>
    </xdr:to>
    <xdr:graphicFrame macro="">
      <xdr:nvGraphicFramePr>
        <xdr:cNvPr id="26" name="Chart 25">
          <a:extLst>
            <a:ext uri="{FF2B5EF4-FFF2-40B4-BE49-F238E27FC236}">
              <a16:creationId xmlns:a16="http://schemas.microsoft.com/office/drawing/2014/main" id="{BDBE2522-59A8-4B42-A1CE-9903664CB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226338</xdr:colOff>
      <xdr:row>24</xdr:row>
      <xdr:rowOff>80129</xdr:rowOff>
    </xdr:from>
    <xdr:to>
      <xdr:col>18</xdr:col>
      <xdr:colOff>330074</xdr:colOff>
      <xdr:row>39</xdr:row>
      <xdr:rowOff>154212</xdr:rowOff>
    </xdr:to>
    <xdr:sp macro="" textlink="">
      <xdr:nvSpPr>
        <xdr:cNvPr id="37" name="Rectangle: Rounded Corners 36">
          <a:extLst>
            <a:ext uri="{FF2B5EF4-FFF2-40B4-BE49-F238E27FC236}">
              <a16:creationId xmlns:a16="http://schemas.microsoft.com/office/drawing/2014/main" id="{366C1B8C-23FA-8A04-6CA4-877F4CAA566E}"/>
            </a:ext>
          </a:extLst>
        </xdr:cNvPr>
        <xdr:cNvSpPr/>
      </xdr:nvSpPr>
      <xdr:spPr>
        <a:xfrm>
          <a:off x="5743293" y="4606862"/>
          <a:ext cx="5620692" cy="2903291"/>
        </a:xfrm>
        <a:prstGeom prst="roundRect">
          <a:avLst>
            <a:gd name="adj" fmla="val 274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302715</xdr:colOff>
      <xdr:row>24</xdr:row>
      <xdr:rowOff>126793</xdr:rowOff>
    </xdr:from>
    <xdr:to>
      <xdr:col>18</xdr:col>
      <xdr:colOff>301367</xdr:colOff>
      <xdr:row>39</xdr:row>
      <xdr:rowOff>136358</xdr:rowOff>
    </xdr:to>
    <xdr:graphicFrame macro="">
      <xdr:nvGraphicFramePr>
        <xdr:cNvPr id="27" name="Chart 26">
          <a:extLst>
            <a:ext uri="{FF2B5EF4-FFF2-40B4-BE49-F238E27FC236}">
              <a16:creationId xmlns:a16="http://schemas.microsoft.com/office/drawing/2014/main" id="{E20F66FD-A7A0-40BF-9845-827B0A9F5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323634</xdr:colOff>
      <xdr:row>30</xdr:row>
      <xdr:rowOff>21648</xdr:rowOff>
    </xdr:from>
    <xdr:ext cx="1264228" cy="1073726"/>
    <xdr:sp macro="" textlink="'PIVOT TABLE'!B18">
      <xdr:nvSpPr>
        <xdr:cNvPr id="30" name="TextBox 29">
          <a:extLst>
            <a:ext uri="{FF2B5EF4-FFF2-40B4-BE49-F238E27FC236}">
              <a16:creationId xmlns:a16="http://schemas.microsoft.com/office/drawing/2014/main" id="{C9866F40-F748-984E-55A5-A4A2EB42D5BB}"/>
            </a:ext>
          </a:extLst>
        </xdr:cNvPr>
        <xdr:cNvSpPr txBox="1"/>
      </xdr:nvSpPr>
      <xdr:spPr>
        <a:xfrm>
          <a:off x="7597270" y="5736648"/>
          <a:ext cx="1264228" cy="10737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F04F2CA-2405-4A6E-93E5-7EE137235DEC}" type="TxLink">
            <a:rPr lang="en-US" sz="2400" b="1" i="0" u="none" strike="noStrike">
              <a:solidFill>
                <a:srgbClr val="000000"/>
              </a:solidFill>
              <a:latin typeface="Times New Roman" panose="02020603050405020304" pitchFamily="18" charset="0"/>
              <a:cs typeface="Times New Roman" panose="02020603050405020304" pitchFamily="18" charset="0"/>
            </a:rPr>
            <a:pPr algn="ctr"/>
            <a:t>$86K</a:t>
          </a:fld>
          <a:endParaRPr lang="en-US" sz="2400" b="1">
            <a:latin typeface="Times New Roman" panose="02020603050405020304" pitchFamily="18" charset="0"/>
            <a:cs typeface="Times New Roman" panose="02020603050405020304" pitchFamily="18" charset="0"/>
          </a:endParaRPr>
        </a:p>
      </xdr:txBody>
    </xdr:sp>
    <xdr:clientData/>
  </xdr:oneCellAnchor>
  <xdr:twoCellAnchor>
    <xdr:from>
      <xdr:col>0</xdr:col>
      <xdr:colOff>59872</xdr:colOff>
      <xdr:row>24</xdr:row>
      <xdr:rowOff>82851</xdr:rowOff>
    </xdr:from>
    <xdr:to>
      <xdr:col>9</xdr:col>
      <xdr:colOff>179184</xdr:colOff>
      <xdr:row>39</xdr:row>
      <xdr:rowOff>156934</xdr:rowOff>
    </xdr:to>
    <xdr:sp macro="" textlink="">
      <xdr:nvSpPr>
        <xdr:cNvPr id="40" name="Rectangle: Rounded Corners 39">
          <a:extLst>
            <a:ext uri="{FF2B5EF4-FFF2-40B4-BE49-F238E27FC236}">
              <a16:creationId xmlns:a16="http://schemas.microsoft.com/office/drawing/2014/main" id="{5DCE91D5-94EC-1D40-0D18-9A0872198460}"/>
            </a:ext>
          </a:extLst>
        </xdr:cNvPr>
        <xdr:cNvSpPr/>
      </xdr:nvSpPr>
      <xdr:spPr>
        <a:xfrm>
          <a:off x="59872" y="4609584"/>
          <a:ext cx="5636267" cy="2903291"/>
        </a:xfrm>
        <a:prstGeom prst="roundRect">
          <a:avLst>
            <a:gd name="adj" fmla="val 274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108856</xdr:colOff>
      <xdr:row>24</xdr:row>
      <xdr:rowOff>122464</xdr:rowOff>
    </xdr:from>
    <xdr:to>
      <xdr:col>9</xdr:col>
      <xdr:colOff>113169</xdr:colOff>
      <xdr:row>39</xdr:row>
      <xdr:rowOff>122465</xdr:rowOff>
    </xdr:to>
    <xdr:graphicFrame macro="">
      <xdr:nvGraphicFramePr>
        <xdr:cNvPr id="45" name="Chart 44">
          <a:extLst>
            <a:ext uri="{FF2B5EF4-FFF2-40B4-BE49-F238E27FC236}">
              <a16:creationId xmlns:a16="http://schemas.microsoft.com/office/drawing/2014/main" id="{2B56FECF-D6BA-481F-B15E-FC150C499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251114</xdr:colOff>
      <xdr:row>1</xdr:row>
      <xdr:rowOff>43295</xdr:rowOff>
    </xdr:from>
    <xdr:to>
      <xdr:col>1</xdr:col>
      <xdr:colOff>155578</xdr:colOff>
      <xdr:row>3</xdr:row>
      <xdr:rowOff>119495</xdr:rowOff>
    </xdr:to>
    <xdr:pic>
      <xdr:nvPicPr>
        <xdr:cNvPr id="3" name="Picture 2" descr="Dashboard 3d Images - Free Download on Magnific (formerly Freepik)">
          <a:extLst>
            <a:ext uri="{FF2B5EF4-FFF2-40B4-BE49-F238E27FC236}">
              <a16:creationId xmlns:a16="http://schemas.microsoft.com/office/drawing/2014/main" id="{8C18EE99-A11E-48BC-B69F-1DD0370D333B}"/>
            </a:ext>
          </a:extLst>
        </xdr:cNvPr>
        <xdr:cNvPicPr>
          <a:picLocks noChangeAspect="1" noChangeArrowheads="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rcRect l="18083" t="21957" r="19606" b="24145"/>
        <a:stretch>
          <a:fillRect/>
        </a:stretch>
      </xdr:blipFill>
      <xdr:spPr bwMode="auto">
        <a:xfrm>
          <a:off x="251114" y="233795"/>
          <a:ext cx="5106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60615</xdr:colOff>
      <xdr:row>4</xdr:row>
      <xdr:rowOff>112567</xdr:rowOff>
    </xdr:from>
    <xdr:to>
      <xdr:col>1</xdr:col>
      <xdr:colOff>517815</xdr:colOff>
      <xdr:row>6</xdr:row>
      <xdr:rowOff>113210</xdr:rowOff>
    </xdr:to>
    <xdr:pic>
      <xdr:nvPicPr>
        <xdr:cNvPr id="5" name="Picture 4" descr="Three people icon 3d style logo vector illustration | Premium Vector">
          <a:extLst>
            <a:ext uri="{FF2B5EF4-FFF2-40B4-BE49-F238E27FC236}">
              <a16:creationId xmlns:a16="http://schemas.microsoft.com/office/drawing/2014/main" id="{787161FD-B7A8-47C6-BB5F-F2A5192E471C}"/>
            </a:ext>
          </a:extLst>
        </xdr:cNvPr>
        <xdr:cNvPicPr>
          <a:picLocks noChangeAspect="1" noChangeArrowheads="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30671" y1="41214" x2="30671" y2="41214"/>
                    </a14:backgroundRemoval>
                  </a14:imgEffect>
                </a14:imgLayer>
              </a14:imgProps>
            </a:ext>
            <a:ext uri="{28A0092B-C50C-407E-A947-70E740481C1C}">
              <a14:useLocalDpi xmlns:a14="http://schemas.microsoft.com/office/drawing/2010/main" val="0"/>
            </a:ext>
          </a:extLst>
        </a:blip>
        <a:srcRect l="11146" t="25461" r="11992" b="24319"/>
        <a:stretch>
          <a:fillRect/>
        </a:stretch>
      </xdr:blipFill>
      <xdr:spPr bwMode="auto">
        <a:xfrm>
          <a:off x="666751" y="874567"/>
          <a:ext cx="457200" cy="381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303069</xdr:colOff>
      <xdr:row>4</xdr:row>
      <xdr:rowOff>121226</xdr:rowOff>
    </xdr:from>
    <xdr:to>
      <xdr:col>6</xdr:col>
      <xdr:colOff>62693</xdr:colOff>
      <xdr:row>6</xdr:row>
      <xdr:rowOff>122608</xdr:rowOff>
    </xdr:to>
    <xdr:pic>
      <xdr:nvPicPr>
        <xdr:cNvPr id="6" name="Picture 5" descr="Bill Icon PNGs for Free Download">
          <a:extLst>
            <a:ext uri="{FF2B5EF4-FFF2-40B4-BE49-F238E27FC236}">
              <a16:creationId xmlns:a16="http://schemas.microsoft.com/office/drawing/2014/main" id="{17C16247-3726-43DC-8B8A-385BF33170F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333751" y="883226"/>
          <a:ext cx="365760" cy="382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216477</xdr:colOff>
      <xdr:row>4</xdr:row>
      <xdr:rowOff>82851</xdr:rowOff>
    </xdr:from>
    <xdr:to>
      <xdr:col>11</xdr:col>
      <xdr:colOff>67541</xdr:colOff>
      <xdr:row>6</xdr:row>
      <xdr:rowOff>174369</xdr:rowOff>
    </xdr:to>
    <xdr:pic>
      <xdr:nvPicPr>
        <xdr:cNvPr id="7" name="Picture 6" descr="Mobile Payment 3D Icon - Download PNG, glTF, FBX for Finance | IconScout">
          <a:extLst>
            <a:ext uri="{FF2B5EF4-FFF2-40B4-BE49-F238E27FC236}">
              <a16:creationId xmlns:a16="http://schemas.microsoft.com/office/drawing/2014/main" id="{65B6338E-2368-48C7-A491-A9C4D4ED481A}"/>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277841" y="844851"/>
          <a:ext cx="457200" cy="472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544737</xdr:colOff>
      <xdr:row>4</xdr:row>
      <xdr:rowOff>80507</xdr:rowOff>
    </xdr:from>
    <xdr:to>
      <xdr:col>15</xdr:col>
      <xdr:colOff>389024</xdr:colOff>
      <xdr:row>6</xdr:row>
      <xdr:rowOff>177914</xdr:rowOff>
    </xdr:to>
    <xdr:pic>
      <xdr:nvPicPr>
        <xdr:cNvPr id="18" name="Picture 17" descr="3d 24 hours clock icon for longevity and duration | Premium PSD">
          <a:extLst>
            <a:ext uri="{FF2B5EF4-FFF2-40B4-BE49-F238E27FC236}">
              <a16:creationId xmlns:a16="http://schemas.microsoft.com/office/drawing/2014/main" id="{1DFD97DE-E8E7-C5AF-94C6-B0B0E4B25D99}"/>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9125520" y="842507"/>
          <a:ext cx="457200" cy="478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19.419334606479" createdVersion="8" refreshedVersion="8" minRefreshableVersion="3" recordCount="150" xr:uid="{5AC89695-6419-4807-859C-36BE87043941}">
  <cacheSource type="worksheet">
    <worksheetSource name="EMPLOYEE"/>
  </cacheSource>
  <cacheFields count="13">
    <cacheField name="Employee ID" numFmtId="0">
      <sharedItems/>
    </cacheField>
    <cacheField name="First_Name" numFmtId="0">
      <sharedItems/>
    </cacheField>
    <cacheField name="Last_Name" numFmtId="0">
      <sharedItems/>
    </cacheField>
    <cacheField name="Dept Code" numFmtId="49">
      <sharedItems count="6">
        <s v="IT02"/>
        <s v="MKT04"/>
        <s v="FIN03"/>
        <s v="OPS06"/>
        <s v="SAL05"/>
        <s v="HR01"/>
      </sharedItems>
    </cacheField>
    <cacheField name="Hire Date" numFmtId="164">
      <sharedItems containsSemiMixedTypes="0" containsNonDate="0" containsDate="1" containsString="0" minDate="2015-01-04T00:00:00" maxDate="2023-12-13T00:00:00"/>
    </cacheField>
    <cacheField name="Salary" numFmtId="165">
      <sharedItems containsSemiMixedTypes="0" containsString="0" containsNumber="1" containsInteger="1" minValue="45196" maxValue="118947" count="136">
        <n v="50361"/>
        <n v="112673"/>
        <n v="114425"/>
        <n v="103831"/>
        <n v="73785"/>
        <n v="115882"/>
        <n v="59980"/>
        <n v="68728"/>
        <n v="102139"/>
        <n v="94998"/>
        <n v="118635"/>
        <n v="76918"/>
        <n v="61408"/>
        <n v="99990"/>
        <n v="80385"/>
        <n v="65290"/>
        <n v="105765"/>
        <n v="102921"/>
        <n v="73984"/>
        <n v="83593"/>
        <n v="118527"/>
        <n v="107871"/>
        <n v="93956"/>
        <n v="100851"/>
        <n v="68655"/>
        <n v="81205"/>
        <n v="77610"/>
        <n v="50873"/>
        <n v="85312"/>
        <n v="83135"/>
        <n v="97055"/>
        <n v="66069"/>
        <n v="90157"/>
        <n v="59899"/>
        <n v="113389"/>
        <n v="102691"/>
        <n v="111845"/>
        <n v="69219"/>
        <n v="83500"/>
        <n v="57514"/>
        <n v="86245"/>
        <n v="52407"/>
        <n v="66606"/>
        <n v="81896"/>
        <n v="78402"/>
        <n v="105498"/>
        <n v="91749"/>
        <n v="99935"/>
        <n v="83531"/>
        <n v="75023"/>
        <n v="93290"/>
        <n v="115527"/>
        <n v="55920"/>
        <n v="80189"/>
        <n v="118947"/>
        <n v="83013"/>
        <n v="91655"/>
        <n v="49435"/>
        <n v="110381"/>
        <n v="114748"/>
        <n v="63302"/>
        <n v="75519"/>
        <n v="103891"/>
        <n v="50936"/>
        <n v="111240"/>
        <n v="51567"/>
        <n v="82260"/>
        <n v="55270"/>
        <n v="65235"/>
        <n v="48823"/>
        <n v="45196"/>
        <n v="86246"/>
        <n v="70359"/>
        <n v="83580"/>
        <n v="86480"/>
        <n v="47694"/>
        <n v="83724"/>
        <n v="98299"/>
        <n v="52287"/>
        <n v="82633"/>
        <n v="46508"/>
        <n v="86232"/>
        <n v="77545"/>
        <n v="68683"/>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112887"/>
        <n v="85457"/>
        <n v="62798"/>
        <n v="47794"/>
        <n v="93094"/>
        <n v="118634"/>
      </sharedItems>
    </cacheField>
    <cacheField name="Perf_Score" numFmtId="0">
      <sharedItems containsSemiMixedTypes="0" containsString="0" containsNumber="1" containsInteger="1" minValue="30" maxValue="99" count="58">
        <n v="52"/>
        <n v="68"/>
        <n v="54"/>
        <n v="70"/>
        <n v="40"/>
        <n v="49"/>
        <n v="45"/>
        <n v="79"/>
        <n v="58"/>
        <n v="62"/>
        <n v="48"/>
        <n v="77"/>
        <n v="42"/>
        <n v="93"/>
        <n v="75"/>
        <n v="50"/>
        <n v="88"/>
        <n v="64"/>
        <n v="32"/>
        <n v="59"/>
        <n v="90"/>
        <n v="66"/>
        <n v="80"/>
        <n v="72"/>
        <n v="78"/>
        <n v="30"/>
        <n v="98"/>
        <n v="71"/>
        <n v="55"/>
        <n v="76"/>
        <n v="84"/>
        <n v="53"/>
        <n v="63"/>
        <n v="96"/>
        <n v="95"/>
        <n v="33"/>
        <n v="91"/>
        <n v="46"/>
        <n v="99"/>
        <n v="87"/>
        <n v="36"/>
        <n v="97"/>
        <n v="65"/>
        <n v="67"/>
        <n v="34"/>
        <n v="61"/>
        <n v="74"/>
        <n v="94"/>
        <n v="81"/>
        <n v="57"/>
        <n v="69"/>
        <n v="51"/>
        <n v="82"/>
        <n v="83"/>
        <n v="38"/>
        <n v="35"/>
        <n v="92"/>
        <n v="73"/>
      </sharedItems>
    </cacheField>
    <cacheField name="Employment status " numFmtId="0">
      <sharedItems count="3">
        <s v="Active"/>
        <s v="Left"/>
        <s v="Resigned"/>
      </sharedItems>
    </cacheField>
    <cacheField name="Department Name" numFmtId="0">
      <sharedItems count="6">
        <s v="Information Technology"/>
        <s v="Marketing"/>
        <s v="Finance"/>
        <s v="Operations"/>
        <s v="Sales"/>
        <s v="Human Resources"/>
      </sharedItems>
    </cacheField>
    <cacheField name="Full Name" numFmtId="0">
      <sharedItems/>
    </cacheField>
    <cacheField name="Years of Service" numFmtId="1">
      <sharedItems containsSemiMixedTypes="0" containsString="0" containsNumber="1" containsInteger="1" minValue="2" maxValue="11"/>
    </cacheField>
    <cacheField name="Performance Band" numFmtId="0">
      <sharedItems count="5">
        <s v="Developing"/>
        <s v="Achieving"/>
        <s v="Needs Improvement"/>
        <s v="Exceeding"/>
        <s v="Outstanding"/>
      </sharedItems>
    </cacheField>
    <cacheField name="Eligible Bonus Amount" numFmtId="166">
      <sharedItems containsSemiMixedTypes="0" containsString="0" containsNumber="1" minValue="0" maxValue="0.12"/>
    </cacheField>
  </cacheFields>
  <extLst>
    <ext xmlns:x14="http://schemas.microsoft.com/office/spreadsheetml/2009/9/main" uri="{725AE2AE-9491-48be-B2B4-4EB974FC3084}">
      <x14:pivotCacheDefinition pivotCacheId="1284890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x v="0"/>
    <d v="2017-12-24T00:00:00"/>
    <x v="0"/>
    <x v="0"/>
    <x v="0"/>
    <x v="0"/>
    <s v="Emily  Brown"/>
    <n v="8"/>
    <x v="0"/>
    <n v="0.02"/>
  </r>
  <r>
    <s v="EMP046"/>
    <s v="Richard"/>
    <s v="Hernandez"/>
    <x v="1"/>
    <d v="2022-04-08T00:00:00"/>
    <x v="1"/>
    <x v="1"/>
    <x v="0"/>
    <x v="1"/>
    <s v="Richard  Hernandez"/>
    <n v="4"/>
    <x v="0"/>
    <n v="0.02"/>
  </r>
  <r>
    <s v="EMP134"/>
    <s v="Emily"/>
    <s v="Gonzalez"/>
    <x v="0"/>
    <d v="2016-03-02T00:00:00"/>
    <x v="2"/>
    <x v="2"/>
    <x v="1"/>
    <x v="0"/>
    <s v="Emily  Gonzalez"/>
    <n v="10"/>
    <x v="0"/>
    <n v="0.02"/>
  </r>
  <r>
    <s v="EMP139"/>
    <s v="John"/>
    <s v="Martinez"/>
    <x v="2"/>
    <d v="2023-07-03T00:00:00"/>
    <x v="3"/>
    <x v="3"/>
    <x v="0"/>
    <x v="2"/>
    <s v="John  Martinez"/>
    <n v="3"/>
    <x v="1"/>
    <n v="0.05"/>
  </r>
  <r>
    <s v="EMP112"/>
    <s v="Thomas"/>
    <s v="Smith"/>
    <x v="0"/>
    <d v="2023-02-20T00:00:00"/>
    <x v="4"/>
    <x v="4"/>
    <x v="1"/>
    <x v="0"/>
    <s v="Thomas  Smith"/>
    <n v="3"/>
    <x v="2"/>
    <n v="0"/>
  </r>
  <r>
    <s v="EMP030"/>
    <s v="Emily"/>
    <s v="Johnson"/>
    <x v="3"/>
    <d v="2020-03-02T00:00:00"/>
    <x v="5"/>
    <x v="5"/>
    <x v="0"/>
    <x v="3"/>
    <s v="Emily  Johnson"/>
    <n v="6"/>
    <x v="2"/>
    <n v="0"/>
  </r>
  <r>
    <s v="EMP096"/>
    <s v="John"/>
    <s v="Wilson"/>
    <x v="3"/>
    <d v="2023-12-12T00:00:00"/>
    <x v="6"/>
    <x v="3"/>
    <x v="1"/>
    <x v="3"/>
    <s v="John  Wilson"/>
    <n v="2"/>
    <x v="1"/>
    <n v="0.05"/>
  </r>
  <r>
    <s v="EMP098"/>
    <s v="Jessica"/>
    <s v="Smith"/>
    <x v="3"/>
    <d v="2020-12-09T00:00:00"/>
    <x v="7"/>
    <x v="6"/>
    <x v="0"/>
    <x v="3"/>
    <s v="Jessica  Smith"/>
    <n v="5"/>
    <x v="2"/>
    <n v="0"/>
  </r>
  <r>
    <s v="EMP095"/>
    <s v="Jessica"/>
    <s v="Rodriguez"/>
    <x v="2"/>
    <d v="2018-01-07T00:00:00"/>
    <x v="8"/>
    <x v="7"/>
    <x v="0"/>
    <x v="2"/>
    <s v="Jessica  Rodriguez"/>
    <n v="8"/>
    <x v="1"/>
    <n v="0.05"/>
  </r>
  <r>
    <s v="EMP140"/>
    <s v="Michael"/>
    <s v="Martinez"/>
    <x v="4"/>
    <d v="2016-11-02T00:00:00"/>
    <x v="9"/>
    <x v="8"/>
    <x v="0"/>
    <x v="4"/>
    <s v="Michael  Martinez"/>
    <n v="9"/>
    <x v="0"/>
    <n v="0.02"/>
  </r>
  <r>
    <s v="EMP020"/>
    <s v="Emily"/>
    <s v="Miller"/>
    <x v="4"/>
    <d v="2020-03-21T00:00:00"/>
    <x v="10"/>
    <x v="5"/>
    <x v="0"/>
    <x v="4"/>
    <s v="Emily  Miller"/>
    <n v="6"/>
    <x v="2"/>
    <n v="0"/>
  </r>
  <r>
    <s v="EMP057"/>
    <s v="Emily"/>
    <s v="Hernandez"/>
    <x v="0"/>
    <d v="2016-02-25T00:00:00"/>
    <x v="11"/>
    <x v="9"/>
    <x v="0"/>
    <x v="0"/>
    <s v="Emily  Hernandez"/>
    <n v="10"/>
    <x v="0"/>
    <n v="0.02"/>
  </r>
  <r>
    <s v="EMP016"/>
    <s v="Jane"/>
    <s v="Williams"/>
    <x v="1"/>
    <d v="2021-06-17T00:00:00"/>
    <x v="12"/>
    <x v="10"/>
    <x v="0"/>
    <x v="1"/>
    <s v="Jane  Williams"/>
    <n v="5"/>
    <x v="2"/>
    <n v="0"/>
  </r>
  <r>
    <s v="EMP070"/>
    <s v="Jane"/>
    <s v="Miller"/>
    <x v="1"/>
    <d v="2020-06-19T00:00:00"/>
    <x v="13"/>
    <x v="2"/>
    <x v="0"/>
    <x v="1"/>
    <s v="Jane  Miller"/>
    <n v="6"/>
    <x v="0"/>
    <n v="0.02"/>
  </r>
  <r>
    <s v="EMP025"/>
    <s v="Robert"/>
    <s v="Jones"/>
    <x v="1"/>
    <d v="2019-12-21T00:00:00"/>
    <x v="14"/>
    <x v="1"/>
    <x v="0"/>
    <x v="1"/>
    <s v="Robert  Jones"/>
    <n v="6"/>
    <x v="0"/>
    <n v="0.02"/>
  </r>
  <r>
    <s v="EMP031"/>
    <s v="Thomas"/>
    <s v="Rodriguez"/>
    <x v="4"/>
    <d v="2023-08-31T00:00:00"/>
    <x v="15"/>
    <x v="11"/>
    <x v="0"/>
    <x v="4"/>
    <s v="Thomas  Rodriguez"/>
    <n v="2"/>
    <x v="1"/>
    <n v="0.05"/>
  </r>
  <r>
    <s v="EMP126"/>
    <s v="Emily"/>
    <s v="Davis"/>
    <x v="0"/>
    <d v="2015-11-29T00:00:00"/>
    <x v="16"/>
    <x v="12"/>
    <x v="0"/>
    <x v="0"/>
    <s v="Emily  Davis"/>
    <n v="10"/>
    <x v="2"/>
    <n v="0"/>
  </r>
  <r>
    <s v="EMP109"/>
    <s v="James"/>
    <s v="Martinez"/>
    <x v="4"/>
    <d v="2017-06-13T00:00:00"/>
    <x v="17"/>
    <x v="5"/>
    <x v="0"/>
    <x v="4"/>
    <s v="James  Martinez"/>
    <n v="9"/>
    <x v="2"/>
    <n v="0"/>
  </r>
  <r>
    <s v="EMP066"/>
    <s v="Ashley"/>
    <s v="Lopez"/>
    <x v="1"/>
    <d v="2018-05-15T00:00:00"/>
    <x v="18"/>
    <x v="13"/>
    <x v="0"/>
    <x v="1"/>
    <s v="Ashley  Lopez"/>
    <n v="8"/>
    <x v="3"/>
    <n v="0.08"/>
  </r>
  <r>
    <s v="EMP120"/>
    <s v="Amanda"/>
    <s v="Gonzalez"/>
    <x v="0"/>
    <d v="2016-07-24T00:00:00"/>
    <x v="19"/>
    <x v="14"/>
    <x v="0"/>
    <x v="0"/>
    <s v="Amanda  Gonzalez"/>
    <n v="9"/>
    <x v="1"/>
    <n v="0.05"/>
  </r>
  <r>
    <s v="EMP019"/>
    <s v="Michael"/>
    <s v="Hernandez"/>
    <x v="2"/>
    <d v="2017-12-07T00:00:00"/>
    <x v="20"/>
    <x v="15"/>
    <x v="0"/>
    <x v="2"/>
    <s v="Michael  Hernandez"/>
    <n v="8"/>
    <x v="0"/>
    <n v="0.02"/>
  </r>
  <r>
    <s v="EMP013"/>
    <s v="Richard"/>
    <s v="Hernandez"/>
    <x v="1"/>
    <d v="2021-06-06T00:00:00"/>
    <x v="21"/>
    <x v="16"/>
    <x v="0"/>
    <x v="1"/>
    <s v="Richard  Hernandez"/>
    <n v="5"/>
    <x v="3"/>
    <n v="0.08"/>
  </r>
  <r>
    <s v="EMP010"/>
    <s v="Michael"/>
    <s v="Rodriguez"/>
    <x v="0"/>
    <d v="2022-09-11T00:00:00"/>
    <x v="22"/>
    <x v="15"/>
    <x v="1"/>
    <x v="0"/>
    <s v="Michael  Rodriguez"/>
    <n v="3"/>
    <x v="0"/>
    <n v="0.02"/>
  </r>
  <r>
    <s v="EMP032"/>
    <s v="Jessica"/>
    <s v="Johnson"/>
    <x v="2"/>
    <d v="2016-07-14T00:00:00"/>
    <x v="23"/>
    <x v="17"/>
    <x v="0"/>
    <x v="2"/>
    <s v="Jessica  Johnson"/>
    <n v="10"/>
    <x v="0"/>
    <n v="0.02"/>
  </r>
  <r>
    <s v="EMP082"/>
    <s v="Ashley"/>
    <s v="Williams"/>
    <x v="4"/>
    <d v="2022-06-16T00:00:00"/>
    <x v="24"/>
    <x v="18"/>
    <x v="0"/>
    <x v="4"/>
    <s v="Ashley  Williams"/>
    <n v="4"/>
    <x v="2"/>
    <n v="0"/>
  </r>
  <r>
    <s v="EMP052"/>
    <s v="Ashley"/>
    <s v="Williams"/>
    <x v="4"/>
    <d v="2023-07-27T00:00:00"/>
    <x v="25"/>
    <x v="19"/>
    <x v="0"/>
    <x v="4"/>
    <s v="Ashley  Williams"/>
    <n v="2"/>
    <x v="0"/>
    <n v="0.02"/>
  </r>
  <r>
    <s v="EMP129"/>
    <s v="John"/>
    <s v="Wilson"/>
    <x v="4"/>
    <d v="2019-09-24T00:00:00"/>
    <x v="26"/>
    <x v="16"/>
    <x v="0"/>
    <x v="4"/>
    <s v="John  Wilson"/>
    <n v="6"/>
    <x v="3"/>
    <n v="0.08"/>
  </r>
  <r>
    <s v="EMP146"/>
    <s v="Thomas"/>
    <s v="Rodriguez"/>
    <x v="0"/>
    <d v="2022-07-23T00:00:00"/>
    <x v="27"/>
    <x v="20"/>
    <x v="0"/>
    <x v="0"/>
    <s v="Thomas  Rodriguez"/>
    <n v="3"/>
    <x v="3"/>
    <n v="0.08"/>
  </r>
  <r>
    <s v="EMP099"/>
    <s v="Michael"/>
    <s v="Wilson"/>
    <x v="2"/>
    <d v="2018-05-13T00:00:00"/>
    <x v="28"/>
    <x v="21"/>
    <x v="0"/>
    <x v="2"/>
    <s v="Michael  Wilson"/>
    <n v="8"/>
    <x v="0"/>
    <n v="0.02"/>
  </r>
  <r>
    <s v="EMP015"/>
    <s v="John"/>
    <s v="Rodriguez"/>
    <x v="4"/>
    <d v="2015-07-17T00:00:00"/>
    <x v="29"/>
    <x v="1"/>
    <x v="0"/>
    <x v="4"/>
    <s v="John  Rodriguez"/>
    <n v="10"/>
    <x v="0"/>
    <n v="0.02"/>
  </r>
  <r>
    <s v="EMP076"/>
    <s v="Thomas"/>
    <s v="Hernandez"/>
    <x v="3"/>
    <d v="2015-08-05T00:00:00"/>
    <x v="30"/>
    <x v="22"/>
    <x v="0"/>
    <x v="3"/>
    <s v="Thomas  Hernandez"/>
    <n v="10"/>
    <x v="1"/>
    <n v="0.05"/>
  </r>
  <r>
    <s v="EMP137"/>
    <s v="Michael"/>
    <s v="Johnson"/>
    <x v="0"/>
    <d v="2023-09-26T00:00:00"/>
    <x v="31"/>
    <x v="23"/>
    <x v="0"/>
    <x v="0"/>
    <s v="Michael  Johnson"/>
    <n v="2"/>
    <x v="1"/>
    <n v="0.05"/>
  </r>
  <r>
    <s v="EMP056"/>
    <s v="Sarah"/>
    <s v="Brown"/>
    <x v="0"/>
    <d v="2019-06-10T00:00:00"/>
    <x v="32"/>
    <x v="8"/>
    <x v="0"/>
    <x v="0"/>
    <s v="Sarah  Brown"/>
    <n v="7"/>
    <x v="0"/>
    <n v="0.02"/>
  </r>
  <r>
    <s v="EMP125"/>
    <s v="Jane"/>
    <s v="Martinez"/>
    <x v="5"/>
    <d v="2022-01-17T00:00:00"/>
    <x v="33"/>
    <x v="24"/>
    <x v="0"/>
    <x v="5"/>
    <s v="Jane  Martinez"/>
    <n v="4"/>
    <x v="1"/>
    <n v="0.05"/>
  </r>
  <r>
    <s v="EMP085"/>
    <s v="Emily"/>
    <s v="Jones"/>
    <x v="2"/>
    <d v="2017-07-03T00:00:00"/>
    <x v="34"/>
    <x v="25"/>
    <x v="0"/>
    <x v="2"/>
    <s v="Emily  Jones"/>
    <n v="9"/>
    <x v="2"/>
    <n v="0"/>
  </r>
  <r>
    <s v="EMP106"/>
    <s v="Emily"/>
    <s v="Brown"/>
    <x v="0"/>
    <d v="2015-09-01T00:00:00"/>
    <x v="35"/>
    <x v="0"/>
    <x v="0"/>
    <x v="0"/>
    <s v="Emily  Brown"/>
    <n v="10"/>
    <x v="0"/>
    <n v="0.02"/>
  </r>
  <r>
    <s v="EMP043"/>
    <s v="John"/>
    <s v="Wilson"/>
    <x v="3"/>
    <d v="2022-08-03T00:00:00"/>
    <x v="36"/>
    <x v="26"/>
    <x v="0"/>
    <x v="3"/>
    <s v="John  Wilson"/>
    <n v="3"/>
    <x v="4"/>
    <n v="0.12"/>
  </r>
  <r>
    <s v="EMP068"/>
    <s v="Melissa"/>
    <s v="Brown"/>
    <x v="4"/>
    <d v="2022-06-29T00:00:00"/>
    <x v="37"/>
    <x v="13"/>
    <x v="0"/>
    <x v="4"/>
    <s v="Melissa  Brown"/>
    <n v="4"/>
    <x v="3"/>
    <n v="0.08"/>
  </r>
  <r>
    <s v="EMP128"/>
    <s v="Michael"/>
    <s v="Smith"/>
    <x v="2"/>
    <d v="2020-04-28T00:00:00"/>
    <x v="38"/>
    <x v="22"/>
    <x v="1"/>
    <x v="2"/>
    <s v="Michael  Smith"/>
    <n v="6"/>
    <x v="1"/>
    <n v="0.05"/>
  </r>
  <r>
    <s v="EMP027"/>
    <s v="Sarah"/>
    <s v="Miller"/>
    <x v="3"/>
    <d v="2017-09-09T00:00:00"/>
    <x v="39"/>
    <x v="1"/>
    <x v="0"/>
    <x v="3"/>
    <s v="Sarah  Miller"/>
    <n v="8"/>
    <x v="0"/>
    <n v="0.02"/>
  </r>
  <r>
    <s v="EMP136"/>
    <s v="Emily"/>
    <s v="Wilson"/>
    <x v="4"/>
    <d v="2018-03-22T00:00:00"/>
    <x v="40"/>
    <x v="27"/>
    <x v="1"/>
    <x v="4"/>
    <s v="Emily  Wilson"/>
    <n v="8"/>
    <x v="1"/>
    <n v="0.05"/>
  </r>
  <r>
    <s v="EMP079"/>
    <s v="David"/>
    <s v="Hernandez"/>
    <x v="4"/>
    <d v="2020-05-07T00:00:00"/>
    <x v="41"/>
    <x v="28"/>
    <x v="0"/>
    <x v="4"/>
    <s v="David  Hernandez"/>
    <n v="6"/>
    <x v="0"/>
    <n v="0.02"/>
  </r>
  <r>
    <s v="EMP149"/>
    <s v="James"/>
    <s v="Smith"/>
    <x v="3"/>
    <d v="2019-03-25T00:00:00"/>
    <x v="42"/>
    <x v="13"/>
    <x v="2"/>
    <x v="3"/>
    <s v="James  Smith"/>
    <n v="7"/>
    <x v="3"/>
    <n v="0.08"/>
  </r>
  <r>
    <s v="EMP037"/>
    <s v="Sarah"/>
    <s v="Williams"/>
    <x v="0"/>
    <d v="2019-08-09T00:00:00"/>
    <x v="43"/>
    <x v="7"/>
    <x v="2"/>
    <x v="0"/>
    <s v="Sarah  Williams"/>
    <n v="6"/>
    <x v="1"/>
    <n v="0.05"/>
  </r>
  <r>
    <s v="EMP077"/>
    <s v="Amanda"/>
    <s v="Lopez"/>
    <x v="4"/>
    <d v="2016-07-14T00:00:00"/>
    <x v="44"/>
    <x v="2"/>
    <x v="0"/>
    <x v="4"/>
    <s v="Amanda  Lopez"/>
    <n v="10"/>
    <x v="0"/>
    <n v="0.02"/>
  </r>
  <r>
    <s v="EMP023"/>
    <s v="Thomas"/>
    <s v="Lopez"/>
    <x v="3"/>
    <d v="2016-10-04T00:00:00"/>
    <x v="45"/>
    <x v="29"/>
    <x v="0"/>
    <x v="3"/>
    <s v="Thomas  Lopez"/>
    <n v="9"/>
    <x v="1"/>
    <n v="0.05"/>
  </r>
  <r>
    <s v="EMP133"/>
    <s v="Melissa"/>
    <s v="Johnson"/>
    <x v="1"/>
    <d v="2019-07-10T00:00:00"/>
    <x v="46"/>
    <x v="23"/>
    <x v="1"/>
    <x v="1"/>
    <s v="Melissa  Johnson"/>
    <n v="7"/>
    <x v="1"/>
    <n v="0.05"/>
  </r>
  <r>
    <s v="EMP141"/>
    <s v="Amanda"/>
    <s v="Johnson"/>
    <x v="3"/>
    <d v="2021-08-29T00:00:00"/>
    <x v="47"/>
    <x v="30"/>
    <x v="2"/>
    <x v="3"/>
    <s v="Amanda  Johnson"/>
    <n v="4"/>
    <x v="1"/>
    <n v="0.05"/>
  </r>
  <r>
    <s v="EMP012"/>
    <s v="John"/>
    <s v="Davis"/>
    <x v="0"/>
    <d v="2017-01-26T00:00:00"/>
    <x v="48"/>
    <x v="25"/>
    <x v="1"/>
    <x v="0"/>
    <s v="John  Davis"/>
    <n v="9"/>
    <x v="2"/>
    <n v="0"/>
  </r>
  <r>
    <s v="EMP080"/>
    <s v="James"/>
    <s v="Johnson"/>
    <x v="1"/>
    <d v="2020-05-30T00:00:00"/>
    <x v="49"/>
    <x v="1"/>
    <x v="0"/>
    <x v="1"/>
    <s v="James  Johnson"/>
    <n v="6"/>
    <x v="0"/>
    <n v="0.02"/>
  </r>
  <r>
    <s v="EMP069"/>
    <s v="Jane"/>
    <s v="Davis"/>
    <x v="5"/>
    <d v="2022-02-20T00:00:00"/>
    <x v="50"/>
    <x v="31"/>
    <x v="0"/>
    <x v="5"/>
    <s v="Jane  Davis"/>
    <n v="4"/>
    <x v="0"/>
    <n v="0.02"/>
  </r>
  <r>
    <s v="EMP150"/>
    <s v="Richard"/>
    <s v="Davis"/>
    <x v="3"/>
    <d v="2016-09-15T00:00:00"/>
    <x v="51"/>
    <x v="32"/>
    <x v="2"/>
    <x v="3"/>
    <s v="Richard  Davis"/>
    <n v="9"/>
    <x v="0"/>
    <n v="0.02"/>
  </r>
  <r>
    <s v="EMP028"/>
    <s v="Thomas"/>
    <s v="Rodriguez"/>
    <x v="2"/>
    <d v="2019-10-07T00:00:00"/>
    <x v="52"/>
    <x v="30"/>
    <x v="0"/>
    <x v="2"/>
    <s v="Thomas  Rodriguez"/>
    <n v="6"/>
    <x v="1"/>
    <n v="0.05"/>
  </r>
  <r>
    <s v="EMP087"/>
    <s v="Emily"/>
    <s v="Johnson"/>
    <x v="4"/>
    <d v="2018-12-30T00:00:00"/>
    <x v="53"/>
    <x v="25"/>
    <x v="0"/>
    <x v="4"/>
    <s v="Emily  Johnson"/>
    <n v="7"/>
    <x v="2"/>
    <n v="0"/>
  </r>
  <r>
    <s v="EMP119"/>
    <s v="Emily"/>
    <s v="Garcia"/>
    <x v="5"/>
    <d v="2020-12-24T00:00:00"/>
    <x v="54"/>
    <x v="33"/>
    <x v="0"/>
    <x v="5"/>
    <s v="Emily  Garcia"/>
    <n v="5"/>
    <x v="4"/>
    <n v="0.12"/>
  </r>
  <r>
    <s v="EMP042"/>
    <s v="Jane"/>
    <s v="Anderson"/>
    <x v="0"/>
    <d v="2023-07-05T00:00:00"/>
    <x v="19"/>
    <x v="2"/>
    <x v="0"/>
    <x v="0"/>
    <s v="Jane  Anderson"/>
    <n v="3"/>
    <x v="0"/>
    <n v="0.02"/>
  </r>
  <r>
    <s v="EMP005"/>
    <s v="Thomas"/>
    <s v="Garcia"/>
    <x v="3"/>
    <d v="2020-11-13T00:00:00"/>
    <x v="55"/>
    <x v="14"/>
    <x v="0"/>
    <x v="3"/>
    <s v="Thomas  Garcia"/>
    <n v="5"/>
    <x v="1"/>
    <n v="0.05"/>
  </r>
  <r>
    <s v="EMP033"/>
    <s v="David"/>
    <s v="Martinez"/>
    <x v="5"/>
    <d v="2018-02-07T00:00:00"/>
    <x v="56"/>
    <x v="34"/>
    <x v="0"/>
    <x v="5"/>
    <s v="David  Martinez"/>
    <n v="8"/>
    <x v="4"/>
    <n v="0.12"/>
  </r>
  <r>
    <s v="EMP061"/>
    <s v="Emily"/>
    <s v="Brown"/>
    <x v="0"/>
    <d v="2023-11-25T00:00:00"/>
    <x v="57"/>
    <x v="1"/>
    <x v="1"/>
    <x v="0"/>
    <s v="Emily  Brown"/>
    <n v="2"/>
    <x v="0"/>
    <n v="0.02"/>
  </r>
  <r>
    <s v="EMP102"/>
    <s v="Emily"/>
    <s v="Wilson"/>
    <x v="4"/>
    <d v="2023-10-18T00:00:00"/>
    <x v="58"/>
    <x v="13"/>
    <x v="0"/>
    <x v="4"/>
    <s v="Emily  Wilson"/>
    <n v="2"/>
    <x v="3"/>
    <n v="0.08"/>
  </r>
  <r>
    <s v="EMP067"/>
    <s v="Michael"/>
    <s v="Anderson"/>
    <x v="5"/>
    <d v="2020-09-05T00:00:00"/>
    <x v="59"/>
    <x v="35"/>
    <x v="0"/>
    <x v="5"/>
    <s v="Michael  Anderson"/>
    <n v="5"/>
    <x v="2"/>
    <n v="0"/>
  </r>
  <r>
    <s v="EMP017"/>
    <s v="Robert"/>
    <s v="Johnson"/>
    <x v="3"/>
    <d v="2017-03-06T00:00:00"/>
    <x v="60"/>
    <x v="36"/>
    <x v="0"/>
    <x v="3"/>
    <s v="Robert  Johnson"/>
    <n v="9"/>
    <x v="3"/>
    <n v="0.08"/>
  </r>
  <r>
    <s v="EMP123"/>
    <s v="Robert"/>
    <s v="Miller"/>
    <x v="0"/>
    <d v="2015-04-28T00:00:00"/>
    <x v="61"/>
    <x v="17"/>
    <x v="0"/>
    <x v="0"/>
    <s v="Robert  Miller"/>
    <n v="11"/>
    <x v="0"/>
    <n v="0.02"/>
  </r>
  <r>
    <s v="EMP011"/>
    <s v="Jane"/>
    <s v="Davis"/>
    <x v="2"/>
    <d v="2017-04-13T00:00:00"/>
    <x v="62"/>
    <x v="22"/>
    <x v="0"/>
    <x v="2"/>
    <s v="Jane  Davis"/>
    <n v="9"/>
    <x v="1"/>
    <n v="0.05"/>
  </r>
  <r>
    <s v="EMP091"/>
    <s v="Thomas"/>
    <s v="Davis"/>
    <x v="3"/>
    <d v="2022-09-23T00:00:00"/>
    <x v="55"/>
    <x v="37"/>
    <x v="1"/>
    <x v="3"/>
    <s v="Thomas  Davis"/>
    <n v="3"/>
    <x v="2"/>
    <n v="0"/>
  </r>
  <r>
    <s v="EMP145"/>
    <s v="Thomas"/>
    <s v="Jones"/>
    <x v="1"/>
    <d v="2016-11-11T00:00:00"/>
    <x v="63"/>
    <x v="38"/>
    <x v="0"/>
    <x v="1"/>
    <s v="Thomas  Jones"/>
    <n v="9"/>
    <x v="4"/>
    <n v="0.12"/>
  </r>
  <r>
    <s v="EMP001"/>
    <s v="Michael"/>
    <s v="Miller"/>
    <x v="4"/>
    <d v="2017-03-24T00:00:00"/>
    <x v="64"/>
    <x v="1"/>
    <x v="0"/>
    <x v="4"/>
    <s v="Michael  Miller"/>
    <n v="9"/>
    <x v="0"/>
    <n v="0.02"/>
  </r>
  <r>
    <s v="EMP113"/>
    <s v="Richard"/>
    <s v="Gonzalez"/>
    <x v="5"/>
    <d v="2019-05-05T00:00:00"/>
    <x v="65"/>
    <x v="39"/>
    <x v="2"/>
    <x v="5"/>
    <s v="Richard  Gonzalez"/>
    <n v="7"/>
    <x v="3"/>
    <n v="0.08"/>
  </r>
  <r>
    <s v="EMP065"/>
    <s v="Melissa"/>
    <s v="Williams"/>
    <x v="5"/>
    <d v="2021-07-25T00:00:00"/>
    <x v="66"/>
    <x v="40"/>
    <x v="0"/>
    <x v="5"/>
    <s v="Melissa  Williams"/>
    <n v="4"/>
    <x v="2"/>
    <n v="0"/>
  </r>
  <r>
    <s v="EMP045"/>
    <s v="Robert"/>
    <s v="Miller"/>
    <x v="5"/>
    <d v="2017-09-30T00:00:00"/>
    <x v="67"/>
    <x v="39"/>
    <x v="0"/>
    <x v="5"/>
    <s v="Robert  Miller"/>
    <n v="8"/>
    <x v="3"/>
    <n v="0.08"/>
  </r>
  <r>
    <s v="EMP083"/>
    <s v="William"/>
    <s v="Garcia"/>
    <x v="4"/>
    <d v="2015-07-07T00:00:00"/>
    <x v="68"/>
    <x v="41"/>
    <x v="0"/>
    <x v="4"/>
    <s v="William  Garcia"/>
    <n v="11"/>
    <x v="4"/>
    <n v="0.12"/>
  </r>
  <r>
    <s v="EMP029"/>
    <s v="John"/>
    <s v="Gonzalez"/>
    <x v="4"/>
    <d v="2018-07-02T00:00:00"/>
    <x v="29"/>
    <x v="23"/>
    <x v="1"/>
    <x v="4"/>
    <s v="John  Gonzalez"/>
    <n v="8"/>
    <x v="1"/>
    <n v="0.05"/>
  </r>
  <r>
    <s v="EMP041"/>
    <s v="James"/>
    <s v="Gonzalez"/>
    <x v="4"/>
    <d v="2022-09-15T00:00:00"/>
    <x v="29"/>
    <x v="42"/>
    <x v="1"/>
    <x v="4"/>
    <s v="James  Gonzalez"/>
    <n v="3"/>
    <x v="0"/>
    <n v="0.02"/>
  </r>
  <r>
    <s v="EMP026"/>
    <s v="Jane"/>
    <s v="Gonzalez"/>
    <x v="4"/>
    <d v="2015-09-02T00:00:00"/>
    <x v="29"/>
    <x v="43"/>
    <x v="0"/>
    <x v="4"/>
    <s v="Jane  Gonzalez"/>
    <n v="10"/>
    <x v="0"/>
    <n v="0.02"/>
  </r>
  <r>
    <s v="EMP024"/>
    <s v="David"/>
    <s v="Wilson"/>
    <x v="3"/>
    <d v="2016-10-11T00:00:00"/>
    <x v="69"/>
    <x v="44"/>
    <x v="0"/>
    <x v="3"/>
    <s v="David  Wilson"/>
    <n v="9"/>
    <x v="2"/>
    <n v="0"/>
  </r>
  <r>
    <s v="EMP111"/>
    <s v="Jane"/>
    <s v="Gonzalez"/>
    <x v="2"/>
    <d v="2019-04-20T00:00:00"/>
    <x v="70"/>
    <x v="24"/>
    <x v="1"/>
    <x v="2"/>
    <s v="Jane  Gonzalez"/>
    <n v="7"/>
    <x v="1"/>
    <n v="0.05"/>
  </r>
  <r>
    <s v="EMP040"/>
    <s v="Jane"/>
    <s v="Rodriguez"/>
    <x v="0"/>
    <d v="2017-02-19T00:00:00"/>
    <x v="71"/>
    <x v="45"/>
    <x v="0"/>
    <x v="0"/>
    <s v="Jane  Rodriguez"/>
    <n v="9"/>
    <x v="0"/>
    <n v="0.02"/>
  </r>
  <r>
    <s v="EMP086"/>
    <s v="Emily"/>
    <s v="Miller"/>
    <x v="4"/>
    <d v="2021-09-07T00:00:00"/>
    <x v="72"/>
    <x v="46"/>
    <x v="1"/>
    <x v="4"/>
    <s v="Emily  Miller"/>
    <n v="4"/>
    <x v="1"/>
    <n v="0.05"/>
  </r>
  <r>
    <s v="EMP124"/>
    <s v="Sarah"/>
    <s v="Miller"/>
    <x v="1"/>
    <d v="2019-05-14T00:00:00"/>
    <x v="73"/>
    <x v="47"/>
    <x v="0"/>
    <x v="1"/>
    <s v="Sarah  Miller"/>
    <n v="7"/>
    <x v="3"/>
    <n v="0.08"/>
  </r>
  <r>
    <s v="EMP132"/>
    <s v="Jessica"/>
    <s v="Garcia"/>
    <x v="3"/>
    <d v="2015-11-22T00:00:00"/>
    <x v="74"/>
    <x v="1"/>
    <x v="0"/>
    <x v="3"/>
    <s v="Jessica  Garcia"/>
    <n v="10"/>
    <x v="0"/>
    <n v="0.02"/>
  </r>
  <r>
    <s v="EMP048"/>
    <s v="Richard"/>
    <s v="Smith"/>
    <x v="5"/>
    <d v="2018-09-29T00:00:00"/>
    <x v="75"/>
    <x v="14"/>
    <x v="0"/>
    <x v="5"/>
    <s v="Richard  Smith"/>
    <n v="7"/>
    <x v="1"/>
    <n v="0.05"/>
  </r>
  <r>
    <s v="EMP114"/>
    <s v="Melissa"/>
    <s v="Wilson"/>
    <x v="0"/>
    <d v="2023-09-02T00:00:00"/>
    <x v="76"/>
    <x v="48"/>
    <x v="2"/>
    <x v="0"/>
    <s v="Melissa  Wilson"/>
    <n v="2"/>
    <x v="1"/>
    <n v="0.05"/>
  </r>
  <r>
    <s v="EMP062"/>
    <s v="Thomas"/>
    <s v="Williams"/>
    <x v="2"/>
    <d v="2022-07-17T00:00:00"/>
    <x v="77"/>
    <x v="45"/>
    <x v="0"/>
    <x v="2"/>
    <s v="Thomas  Williams"/>
    <n v="3"/>
    <x v="0"/>
    <n v="0.02"/>
  </r>
  <r>
    <s v="EMP074"/>
    <s v="David"/>
    <s v="Williams"/>
    <x v="2"/>
    <d v="2021-02-07T00:00:00"/>
    <x v="38"/>
    <x v="1"/>
    <x v="0"/>
    <x v="2"/>
    <s v="David  Williams"/>
    <n v="5"/>
    <x v="0"/>
    <n v="0.02"/>
  </r>
  <r>
    <s v="EMP034"/>
    <s v="John"/>
    <s v="Johnson"/>
    <x v="0"/>
    <d v="2023-10-04T00:00:00"/>
    <x v="78"/>
    <x v="3"/>
    <x v="0"/>
    <x v="0"/>
    <s v="John  Johnson"/>
    <n v="2"/>
    <x v="1"/>
    <n v="0.05"/>
  </r>
  <r>
    <s v="EMP105"/>
    <s v="Richard"/>
    <s v="Gonzalez"/>
    <x v="0"/>
    <d v="2020-08-30T00:00:00"/>
    <x v="79"/>
    <x v="26"/>
    <x v="0"/>
    <x v="0"/>
    <s v="Richard  Gonzalez"/>
    <n v="5"/>
    <x v="4"/>
    <n v="0.12"/>
  </r>
  <r>
    <s v="EMP118"/>
    <s v="Melissa"/>
    <s v="Anderson"/>
    <x v="3"/>
    <d v="2021-08-14T00:00:00"/>
    <x v="80"/>
    <x v="44"/>
    <x v="0"/>
    <x v="3"/>
    <s v="Melissa  Anderson"/>
    <n v="4"/>
    <x v="2"/>
    <n v="0"/>
  </r>
  <r>
    <s v="EMP063"/>
    <s v="Emily"/>
    <s v="Gonzalez"/>
    <x v="5"/>
    <d v="2019-11-27T00:00:00"/>
    <x v="81"/>
    <x v="13"/>
    <x v="0"/>
    <x v="5"/>
    <s v="Emily  Gonzalez"/>
    <n v="6"/>
    <x v="3"/>
    <n v="0.08"/>
  </r>
  <r>
    <s v="EMP094"/>
    <s v="Jane"/>
    <s v="Davis"/>
    <x v="0"/>
    <d v="2017-05-25T00:00:00"/>
    <x v="82"/>
    <x v="10"/>
    <x v="0"/>
    <x v="0"/>
    <s v="Jane  Davis"/>
    <n v="9"/>
    <x v="2"/>
    <n v="0"/>
  </r>
  <r>
    <s v="EMP097"/>
    <s v="William"/>
    <s v="Gonzalez"/>
    <x v="3"/>
    <d v="2018-12-02T00:00:00"/>
    <x v="83"/>
    <x v="20"/>
    <x v="0"/>
    <x v="3"/>
    <s v="William  Gonzalez"/>
    <n v="7"/>
    <x v="3"/>
    <n v="0.08"/>
  </r>
  <r>
    <s v="EMP054"/>
    <s v="Thomas"/>
    <s v="Jones"/>
    <x v="2"/>
    <d v="2019-06-23T00:00:00"/>
    <x v="84"/>
    <x v="49"/>
    <x v="1"/>
    <x v="2"/>
    <s v="Thomas  Jones"/>
    <n v="7"/>
    <x v="0"/>
    <n v="0.02"/>
  </r>
  <r>
    <s v="EMP006"/>
    <s v="Jessica"/>
    <s v="Anderson"/>
    <x v="5"/>
    <d v="2015-10-27T00:00:00"/>
    <x v="85"/>
    <x v="7"/>
    <x v="0"/>
    <x v="5"/>
    <s v="Jessica  Anderson"/>
    <n v="10"/>
    <x v="1"/>
    <n v="0.05"/>
  </r>
  <r>
    <s v="EMP110"/>
    <s v="Melissa"/>
    <s v="Johnson"/>
    <x v="0"/>
    <d v="2018-06-19T00:00:00"/>
    <x v="86"/>
    <x v="21"/>
    <x v="0"/>
    <x v="0"/>
    <s v="Melissa  Johnson"/>
    <n v="8"/>
    <x v="0"/>
    <n v="0.02"/>
  </r>
  <r>
    <s v="EMP147"/>
    <s v="Thomas"/>
    <s v="Miller"/>
    <x v="3"/>
    <d v="2018-01-12T00:00:00"/>
    <x v="87"/>
    <x v="30"/>
    <x v="1"/>
    <x v="3"/>
    <s v="Thomas  Miller"/>
    <n v="8"/>
    <x v="1"/>
    <n v="0.05"/>
  </r>
  <r>
    <s v="EMP050"/>
    <s v="William"/>
    <s v="Gonzalez"/>
    <x v="4"/>
    <d v="2015-01-04T00:00:00"/>
    <x v="88"/>
    <x v="45"/>
    <x v="0"/>
    <x v="4"/>
    <s v="William  Gonzalez"/>
    <n v="11"/>
    <x v="0"/>
    <n v="0.02"/>
  </r>
  <r>
    <s v="EMP036"/>
    <s v="William"/>
    <s v="Smith"/>
    <x v="4"/>
    <d v="2018-12-05T00:00:00"/>
    <x v="89"/>
    <x v="8"/>
    <x v="0"/>
    <x v="4"/>
    <s v="William  Smith"/>
    <n v="7"/>
    <x v="0"/>
    <n v="0.02"/>
  </r>
  <r>
    <s v="EMP081"/>
    <s v="John"/>
    <s v="Johnson"/>
    <x v="0"/>
    <d v="2021-10-13T00:00:00"/>
    <x v="90"/>
    <x v="50"/>
    <x v="0"/>
    <x v="0"/>
    <s v="John  Johnson"/>
    <n v="4"/>
    <x v="0"/>
    <n v="0.02"/>
  </r>
  <r>
    <s v="EMP078"/>
    <s v="Jane"/>
    <s v="Johnson"/>
    <x v="4"/>
    <d v="2020-09-07T00:00:00"/>
    <x v="91"/>
    <x v="44"/>
    <x v="0"/>
    <x v="4"/>
    <s v="Jane  Johnson"/>
    <n v="5"/>
    <x v="2"/>
    <n v="0"/>
  </r>
  <r>
    <s v="EMP035"/>
    <s v="John"/>
    <s v="Jones"/>
    <x v="0"/>
    <d v="2019-03-08T00:00:00"/>
    <x v="19"/>
    <x v="35"/>
    <x v="0"/>
    <x v="0"/>
    <s v="John  Jones"/>
    <n v="7"/>
    <x v="2"/>
    <n v="0"/>
  </r>
  <r>
    <s v="EMP047"/>
    <s v="Jane"/>
    <s v="Lopez"/>
    <x v="1"/>
    <d v="2015-03-11T00:00:00"/>
    <x v="92"/>
    <x v="30"/>
    <x v="1"/>
    <x v="1"/>
    <s v="Jane  Lopez"/>
    <n v="11"/>
    <x v="1"/>
    <n v="0.05"/>
  </r>
  <r>
    <s v="EMP008"/>
    <s v="Melissa"/>
    <s v="Gonzalez"/>
    <x v="1"/>
    <d v="2017-02-19T00:00:00"/>
    <x v="93"/>
    <x v="7"/>
    <x v="0"/>
    <x v="1"/>
    <s v="Melissa  Gonzalez"/>
    <n v="9"/>
    <x v="1"/>
    <n v="0.05"/>
  </r>
  <r>
    <s v="EMP044"/>
    <s v="William"/>
    <s v="Davis"/>
    <x v="0"/>
    <d v="2023-05-09T00:00:00"/>
    <x v="94"/>
    <x v="51"/>
    <x v="0"/>
    <x v="0"/>
    <s v="William  Davis"/>
    <n v="3"/>
    <x v="0"/>
    <n v="0.02"/>
  </r>
  <r>
    <s v="EMP071"/>
    <s v="John"/>
    <s v="Smith"/>
    <x v="3"/>
    <d v="2018-01-22T00:00:00"/>
    <x v="95"/>
    <x v="8"/>
    <x v="0"/>
    <x v="3"/>
    <s v="John  Smith"/>
    <n v="8"/>
    <x v="0"/>
    <n v="0.02"/>
  </r>
  <r>
    <s v="EMP115"/>
    <s v="James"/>
    <s v="Gonzalez"/>
    <x v="0"/>
    <d v="2020-02-18T00:00:00"/>
    <x v="96"/>
    <x v="26"/>
    <x v="0"/>
    <x v="0"/>
    <s v="James  Gonzalez"/>
    <n v="6"/>
    <x v="4"/>
    <n v="0.12"/>
  </r>
  <r>
    <s v="EMP092"/>
    <s v="Emily"/>
    <s v="Johnson"/>
    <x v="3"/>
    <d v="2016-05-22T00:00:00"/>
    <x v="97"/>
    <x v="1"/>
    <x v="0"/>
    <x v="3"/>
    <s v="Emily  Johnson"/>
    <n v="10"/>
    <x v="0"/>
    <n v="0.02"/>
  </r>
  <r>
    <s v="EMP084"/>
    <s v="William"/>
    <s v="Williams"/>
    <x v="1"/>
    <d v="2021-06-02T00:00:00"/>
    <x v="98"/>
    <x v="4"/>
    <x v="1"/>
    <x v="1"/>
    <s v="William  Williams"/>
    <n v="5"/>
    <x v="2"/>
    <n v="0"/>
  </r>
  <r>
    <s v="EMP142"/>
    <s v="James"/>
    <s v="Jones"/>
    <x v="0"/>
    <d v="2021-07-17T00:00:00"/>
    <x v="99"/>
    <x v="16"/>
    <x v="0"/>
    <x v="0"/>
    <s v="James  Jones"/>
    <n v="4"/>
    <x v="3"/>
    <n v="0.08"/>
  </r>
  <r>
    <s v="EMP143"/>
    <s v="Jessica"/>
    <s v="Gonzalez"/>
    <x v="5"/>
    <d v="2016-11-13T00:00:00"/>
    <x v="100"/>
    <x v="11"/>
    <x v="0"/>
    <x v="5"/>
    <s v="Jessica  Gonzalez"/>
    <n v="9"/>
    <x v="1"/>
    <n v="0.05"/>
  </r>
  <r>
    <s v="EMP090"/>
    <s v="Sarah"/>
    <s v="Miller"/>
    <x v="4"/>
    <d v="2019-02-17T00:00:00"/>
    <x v="101"/>
    <x v="36"/>
    <x v="0"/>
    <x v="4"/>
    <s v="Sarah  Miller"/>
    <n v="7"/>
    <x v="3"/>
    <n v="0.08"/>
  </r>
  <r>
    <s v="EMP009"/>
    <s v="Jessica"/>
    <s v="Smith"/>
    <x v="4"/>
    <d v="2016-09-12T00:00:00"/>
    <x v="102"/>
    <x v="40"/>
    <x v="0"/>
    <x v="4"/>
    <s v="Jessica  Smith"/>
    <n v="9"/>
    <x v="2"/>
    <n v="0"/>
  </r>
  <r>
    <s v="EMP014"/>
    <s v="Thomas"/>
    <s v="Jones"/>
    <x v="3"/>
    <d v="2021-08-13T00:00:00"/>
    <x v="103"/>
    <x v="23"/>
    <x v="0"/>
    <x v="3"/>
    <s v="Thomas  Jones"/>
    <n v="4"/>
    <x v="1"/>
    <n v="0.05"/>
  </r>
  <r>
    <s v="EMP060"/>
    <s v="Amanda"/>
    <s v="Brown"/>
    <x v="1"/>
    <d v="2020-06-14T00:00:00"/>
    <x v="104"/>
    <x v="39"/>
    <x v="0"/>
    <x v="1"/>
    <s v="Amanda  Brown"/>
    <n v="6"/>
    <x v="3"/>
    <n v="0.08"/>
  </r>
  <r>
    <s v="EMP135"/>
    <s v="Robert"/>
    <s v="Martinez"/>
    <x v="0"/>
    <d v="2022-07-05T00:00:00"/>
    <x v="105"/>
    <x v="27"/>
    <x v="0"/>
    <x v="0"/>
    <s v="Robert  Martinez"/>
    <n v="4"/>
    <x v="1"/>
    <n v="0.05"/>
  </r>
  <r>
    <s v="EMP004"/>
    <s v="Thomas"/>
    <s v="Miller"/>
    <x v="0"/>
    <d v="2016-07-10T00:00:00"/>
    <x v="106"/>
    <x v="52"/>
    <x v="0"/>
    <x v="0"/>
    <s v="Thomas  Miller"/>
    <n v="10"/>
    <x v="1"/>
    <n v="0.05"/>
  </r>
  <r>
    <s v="EMP018"/>
    <s v="David"/>
    <s v="Rodriguez"/>
    <x v="0"/>
    <d v="2022-04-23T00:00:00"/>
    <x v="107"/>
    <x v="7"/>
    <x v="0"/>
    <x v="0"/>
    <s v="David  Rodriguez"/>
    <n v="4"/>
    <x v="1"/>
    <n v="0.05"/>
  </r>
  <r>
    <s v="EMP039"/>
    <s v="Jane"/>
    <s v="Miller"/>
    <x v="1"/>
    <d v="2017-05-10T00:00:00"/>
    <x v="108"/>
    <x v="53"/>
    <x v="0"/>
    <x v="1"/>
    <s v="Jane  Miller"/>
    <n v="9"/>
    <x v="1"/>
    <n v="0.05"/>
  </r>
  <r>
    <s v="EMP073"/>
    <s v="James"/>
    <s v="Rodriguez"/>
    <x v="3"/>
    <d v="2020-05-20T00:00:00"/>
    <x v="109"/>
    <x v="54"/>
    <x v="2"/>
    <x v="3"/>
    <s v="James  Rodriguez"/>
    <n v="6"/>
    <x v="2"/>
    <n v="0"/>
  </r>
  <r>
    <s v="EMP138"/>
    <s v="Sarah"/>
    <s v="Rodriguez"/>
    <x v="5"/>
    <d v="2023-04-20T00:00:00"/>
    <x v="110"/>
    <x v="11"/>
    <x v="0"/>
    <x v="5"/>
    <s v="Sarah  Rodriguez"/>
    <n v="3"/>
    <x v="1"/>
    <n v="0.05"/>
  </r>
  <r>
    <s v="EMP007"/>
    <s v="Sarah"/>
    <s v="Wilson"/>
    <x v="4"/>
    <d v="2021-10-31T00:00:00"/>
    <x v="29"/>
    <x v="5"/>
    <x v="0"/>
    <x v="4"/>
    <s v="Sarah  Wilson"/>
    <n v="4"/>
    <x v="2"/>
    <n v="0"/>
  </r>
  <r>
    <s v="EMP144"/>
    <s v="Melissa"/>
    <s v="Brown"/>
    <x v="0"/>
    <d v="2021-10-24T00:00:00"/>
    <x v="19"/>
    <x v="50"/>
    <x v="1"/>
    <x v="0"/>
    <s v="Melissa  Brown"/>
    <n v="4"/>
    <x v="0"/>
    <n v="0.02"/>
  </r>
  <r>
    <s v="EMP101"/>
    <s v="Robert"/>
    <s v="Williams"/>
    <x v="4"/>
    <d v="2017-08-09T00:00:00"/>
    <x v="29"/>
    <x v="29"/>
    <x v="0"/>
    <x v="4"/>
    <s v="Robert  Williams"/>
    <n v="8"/>
    <x v="1"/>
    <n v="0.05"/>
  </r>
  <r>
    <s v="EMP003"/>
    <s v="Melissa"/>
    <s v="Rodriguez"/>
    <x v="3"/>
    <d v="2023-01-04T00:00:00"/>
    <x v="111"/>
    <x v="24"/>
    <x v="0"/>
    <x v="3"/>
    <s v="Melissa  Rodriguez"/>
    <n v="3"/>
    <x v="1"/>
    <n v="0.05"/>
  </r>
  <r>
    <s v="EMP121"/>
    <s v="James"/>
    <s v="Johnson"/>
    <x v="5"/>
    <d v="2020-08-10T00:00:00"/>
    <x v="112"/>
    <x v="13"/>
    <x v="0"/>
    <x v="5"/>
    <s v="James  Johnson"/>
    <n v="5"/>
    <x v="3"/>
    <n v="0.08"/>
  </r>
  <r>
    <s v="EMP064"/>
    <s v="Michael"/>
    <s v="Wilson"/>
    <x v="1"/>
    <d v="2022-04-02T00:00:00"/>
    <x v="113"/>
    <x v="1"/>
    <x v="0"/>
    <x v="1"/>
    <s v="Michael  Wilson"/>
    <n v="4"/>
    <x v="0"/>
    <n v="0.02"/>
  </r>
  <r>
    <s v="EMP116"/>
    <s v="William"/>
    <s v="Jones"/>
    <x v="1"/>
    <d v="2018-03-24T00:00:00"/>
    <x v="114"/>
    <x v="12"/>
    <x v="0"/>
    <x v="1"/>
    <s v="William  Jones"/>
    <n v="8"/>
    <x v="2"/>
    <n v="0"/>
  </r>
  <r>
    <s v="EMP055"/>
    <s v="William"/>
    <s v="Williams"/>
    <x v="0"/>
    <d v="2018-07-24T00:00:00"/>
    <x v="115"/>
    <x v="44"/>
    <x v="0"/>
    <x v="0"/>
    <s v="William  Williams"/>
    <n v="7"/>
    <x v="2"/>
    <n v="0"/>
  </r>
  <r>
    <s v="EMP108"/>
    <s v="David"/>
    <s v="Williams"/>
    <x v="5"/>
    <d v="2018-07-20T00:00:00"/>
    <x v="116"/>
    <x v="55"/>
    <x v="0"/>
    <x v="5"/>
    <s v="David  Williams"/>
    <n v="7"/>
    <x v="2"/>
    <n v="0"/>
  </r>
  <r>
    <s v="EMP051"/>
    <s v="Jane"/>
    <s v="Davis"/>
    <x v="2"/>
    <d v="2016-03-04T00:00:00"/>
    <x v="117"/>
    <x v="34"/>
    <x v="0"/>
    <x v="2"/>
    <s v="Jane  Davis"/>
    <n v="10"/>
    <x v="4"/>
    <n v="0.12"/>
  </r>
  <r>
    <s v="EMP059"/>
    <s v="John"/>
    <s v="Martinez"/>
    <x v="5"/>
    <d v="2022-03-23T00:00:00"/>
    <x v="118"/>
    <x v="20"/>
    <x v="1"/>
    <x v="5"/>
    <s v="John  Martinez"/>
    <n v="4"/>
    <x v="3"/>
    <n v="0.08"/>
  </r>
  <r>
    <s v="EMP049"/>
    <s v="David"/>
    <s v="Anderson"/>
    <x v="5"/>
    <d v="2017-07-28T00:00:00"/>
    <x v="119"/>
    <x v="12"/>
    <x v="0"/>
    <x v="5"/>
    <s v="David  Anderson"/>
    <n v="8"/>
    <x v="2"/>
    <n v="0"/>
  </r>
  <r>
    <s v="EMP089"/>
    <s v="Sarah"/>
    <s v="Smith"/>
    <x v="4"/>
    <d v="2023-05-11T00:00:00"/>
    <x v="120"/>
    <x v="16"/>
    <x v="2"/>
    <x v="4"/>
    <s v="Sarah  Smith"/>
    <n v="3"/>
    <x v="3"/>
    <n v="0.08"/>
  </r>
  <r>
    <s v="EMP022"/>
    <s v="Melissa"/>
    <s v="Hernandez"/>
    <x v="3"/>
    <d v="2022-03-19T00:00:00"/>
    <x v="121"/>
    <x v="24"/>
    <x v="1"/>
    <x v="3"/>
    <s v="Melissa  Hernandez"/>
    <n v="4"/>
    <x v="1"/>
    <n v="0.05"/>
  </r>
  <r>
    <s v="EMP058"/>
    <s v="Melissa"/>
    <s v="Johnson"/>
    <x v="2"/>
    <d v="2017-12-22T00:00:00"/>
    <x v="122"/>
    <x v="50"/>
    <x v="0"/>
    <x v="2"/>
    <s v="Melissa  Johnson"/>
    <n v="8"/>
    <x v="0"/>
    <n v="0.02"/>
  </r>
  <r>
    <s v="EMP130"/>
    <s v="Jane"/>
    <s v="Garcia"/>
    <x v="1"/>
    <d v="2021-08-29T00:00:00"/>
    <x v="123"/>
    <x v="52"/>
    <x v="0"/>
    <x v="1"/>
    <s v="Jane  Garcia"/>
    <n v="4"/>
    <x v="1"/>
    <n v="0.05"/>
  </r>
  <r>
    <s v="EMP038"/>
    <s v="David"/>
    <s v="Davis"/>
    <x v="0"/>
    <d v="2018-09-17T00:00:00"/>
    <x v="124"/>
    <x v="1"/>
    <x v="0"/>
    <x v="0"/>
    <s v="David  Davis"/>
    <n v="7"/>
    <x v="0"/>
    <n v="0.02"/>
  </r>
  <r>
    <s v="EMP148"/>
    <s v="James"/>
    <s v="Wilson"/>
    <x v="4"/>
    <d v="2021-06-28T00:00:00"/>
    <x v="29"/>
    <x v="0"/>
    <x v="0"/>
    <x v="4"/>
    <s v="James  Wilson"/>
    <n v="5"/>
    <x v="0"/>
    <n v="0.02"/>
  </r>
  <r>
    <s v="EMP002"/>
    <s v="Richard"/>
    <s v="Johnson"/>
    <x v="3"/>
    <d v="2017-10-03T00:00:00"/>
    <x v="125"/>
    <x v="56"/>
    <x v="1"/>
    <x v="3"/>
    <s v="Richard  Johnson"/>
    <n v="8"/>
    <x v="3"/>
    <n v="0.08"/>
  </r>
  <r>
    <s v="EMP053"/>
    <s v="Richard"/>
    <s v="Williams"/>
    <x v="2"/>
    <d v="2015-10-22T00:00:00"/>
    <x v="38"/>
    <x v="9"/>
    <x v="0"/>
    <x v="2"/>
    <s v="Richard  Williams"/>
    <n v="10"/>
    <x v="0"/>
    <n v="0.02"/>
  </r>
  <r>
    <s v="EMP131"/>
    <s v="John"/>
    <s v="Hernandez"/>
    <x v="3"/>
    <d v="2018-06-06T00:00:00"/>
    <x v="126"/>
    <x v="1"/>
    <x v="0"/>
    <x v="3"/>
    <s v="John  Hernandez"/>
    <n v="8"/>
    <x v="0"/>
    <n v="0.02"/>
  </r>
  <r>
    <s v="EMP104"/>
    <s v="Sarah"/>
    <s v="Gonzalez"/>
    <x v="3"/>
    <d v="2017-07-16T00:00:00"/>
    <x v="127"/>
    <x v="26"/>
    <x v="0"/>
    <x v="3"/>
    <s v="Sarah  Gonzalez"/>
    <n v="9"/>
    <x v="4"/>
    <n v="0.12"/>
  </r>
  <r>
    <s v="EMP100"/>
    <s v="Melissa"/>
    <s v="Hernandez"/>
    <x v="4"/>
    <d v="2015-06-20T00:00:00"/>
    <x v="29"/>
    <x v="47"/>
    <x v="2"/>
    <x v="4"/>
    <s v="Melissa  Hernandez"/>
    <n v="11"/>
    <x v="3"/>
    <n v="0.08"/>
  </r>
  <r>
    <s v="EMP117"/>
    <s v="Melissa"/>
    <s v="Hernandez"/>
    <x v="3"/>
    <d v="2019-05-24T00:00:00"/>
    <x v="128"/>
    <x v="49"/>
    <x v="2"/>
    <x v="3"/>
    <s v="Melissa  Hernandez"/>
    <n v="7"/>
    <x v="0"/>
    <n v="0.02"/>
  </r>
  <r>
    <s v="EMP088"/>
    <s v="John"/>
    <s v="Davis"/>
    <x v="0"/>
    <d v="2020-02-26T00:00:00"/>
    <x v="19"/>
    <x v="33"/>
    <x v="0"/>
    <x v="0"/>
    <s v="John  Davis"/>
    <n v="6"/>
    <x v="4"/>
    <n v="0.12"/>
  </r>
  <r>
    <s v="EMP075"/>
    <s v="Richard"/>
    <s v="Davis"/>
    <x v="5"/>
    <d v="2023-03-06T00:00:00"/>
    <x v="129"/>
    <x v="0"/>
    <x v="1"/>
    <x v="5"/>
    <s v="Richard  Davis"/>
    <n v="3"/>
    <x v="0"/>
    <n v="0.02"/>
  </r>
  <r>
    <s v="EMP122"/>
    <s v="Richard"/>
    <s v="Jones"/>
    <x v="0"/>
    <d v="2019-01-12T00:00:00"/>
    <x v="130"/>
    <x v="19"/>
    <x v="0"/>
    <x v="0"/>
    <s v="Richard  Jones"/>
    <n v="7"/>
    <x v="0"/>
    <n v="0.02"/>
  </r>
  <r>
    <s v="EMP021"/>
    <s v="William"/>
    <s v="Rodriguez"/>
    <x v="2"/>
    <d v="2023-04-21T00:00:00"/>
    <x v="131"/>
    <x v="7"/>
    <x v="0"/>
    <x v="2"/>
    <s v="William  Rodriguez"/>
    <n v="3"/>
    <x v="1"/>
    <n v="0.05"/>
  </r>
  <r>
    <s v="EMP072"/>
    <s v="Melissa"/>
    <s v="Miller"/>
    <x v="4"/>
    <d v="2016-05-29T00:00:00"/>
    <x v="132"/>
    <x v="25"/>
    <x v="0"/>
    <x v="4"/>
    <s v="Melissa  Miller"/>
    <n v="10"/>
    <x v="2"/>
    <n v="0"/>
  </r>
  <r>
    <s v="EMP107"/>
    <s v="Emily"/>
    <s v="Martinez"/>
    <x v="3"/>
    <d v="2022-05-30T00:00:00"/>
    <x v="133"/>
    <x v="57"/>
    <x v="1"/>
    <x v="3"/>
    <s v="Emily  Martinez"/>
    <n v="4"/>
    <x v="1"/>
    <n v="0.05"/>
  </r>
  <r>
    <s v="EMP093"/>
    <s v="James"/>
    <s v="Rodriguez"/>
    <x v="1"/>
    <d v="2016-11-03T00:00:00"/>
    <x v="134"/>
    <x v="46"/>
    <x v="0"/>
    <x v="1"/>
    <s v="James  Rodriguez"/>
    <n v="9"/>
    <x v="1"/>
    <n v="0.05"/>
  </r>
  <r>
    <s v="EMP103"/>
    <s v="Amanda"/>
    <s v="Brown"/>
    <x v="0"/>
    <d v="2022-10-14T00:00:00"/>
    <x v="135"/>
    <x v="36"/>
    <x v="0"/>
    <x v="0"/>
    <s v="Amanda  Brown"/>
    <n v="3"/>
    <x v="3"/>
    <n v="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09DC29-E912-4D4D-88A6-04DDE325806F}"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6" rowHeaderCaption="Department Name">
  <location ref="H13:H14" firstHeaderRow="1" firstDataRow="1" firstDataCol="0"/>
  <pivotFields count="13">
    <pivotField showAll="0"/>
    <pivotField showAll="0"/>
    <pivotField showAll="0"/>
    <pivotField showAll="0">
      <items count="7">
        <item x="2"/>
        <item x="5"/>
        <item x="0"/>
        <item x="1"/>
        <item x="3"/>
        <item x="4"/>
        <item t="default"/>
      </items>
    </pivotField>
    <pivotField numFmtId="164" showAll="0"/>
    <pivotField numFmtId="165" showAll="0">
      <items count="137">
        <item x="70"/>
        <item x="117"/>
        <item x="80"/>
        <item x="75"/>
        <item x="133"/>
        <item x="108"/>
        <item x="69"/>
        <item x="57"/>
        <item x="94"/>
        <item x="0"/>
        <item x="125"/>
        <item x="27"/>
        <item x="63"/>
        <item x="65"/>
        <item x="78"/>
        <item x="41"/>
        <item x="126"/>
        <item x="96"/>
        <item x="67"/>
        <item x="52"/>
        <item x="85"/>
        <item x="39"/>
        <item x="33"/>
        <item x="6"/>
        <item x="111"/>
        <item x="12"/>
        <item x="124"/>
        <item x="132"/>
        <item x="115"/>
        <item x="60"/>
        <item x="127"/>
        <item x="68"/>
        <item x="15"/>
        <item x="31"/>
        <item x="42"/>
        <item x="98"/>
        <item x="87"/>
        <item x="112"/>
        <item x="24"/>
        <item x="83"/>
        <item x="7"/>
        <item x="37"/>
        <item x="72"/>
        <item x="90"/>
        <item x="4"/>
        <item x="18"/>
        <item x="106"/>
        <item x="49"/>
        <item x="61"/>
        <item x="11"/>
        <item x="82"/>
        <item x="26"/>
        <item x="100"/>
        <item x="107"/>
        <item x="44"/>
        <item x="89"/>
        <item x="53"/>
        <item x="14"/>
        <item x="97"/>
        <item x="25"/>
        <item x="43"/>
        <item x="66"/>
        <item x="79"/>
        <item x="93"/>
        <item x="123"/>
        <item x="55"/>
        <item x="29"/>
        <item x="38"/>
        <item x="48"/>
        <item x="73"/>
        <item x="19"/>
        <item x="76"/>
        <item x="84"/>
        <item x="116"/>
        <item x="28"/>
        <item x="131"/>
        <item x="81"/>
        <item x="40"/>
        <item x="71"/>
        <item x="74"/>
        <item x="122"/>
        <item x="86"/>
        <item x="113"/>
        <item x="95"/>
        <item x="32"/>
        <item x="56"/>
        <item x="99"/>
        <item x="46"/>
        <item x="134"/>
        <item x="50"/>
        <item x="22"/>
        <item x="9"/>
        <item x="91"/>
        <item x="101"/>
        <item x="30"/>
        <item x="77"/>
        <item x="47"/>
        <item x="13"/>
        <item x="23"/>
        <item x="92"/>
        <item x="109"/>
        <item x="8"/>
        <item x="35"/>
        <item x="17"/>
        <item x="3"/>
        <item x="62"/>
        <item x="45"/>
        <item x="16"/>
        <item x="129"/>
        <item x="21"/>
        <item x="114"/>
        <item x="128"/>
        <item x="121"/>
        <item x="103"/>
        <item x="58"/>
        <item x="120"/>
        <item x="64"/>
        <item x="36"/>
        <item x="118"/>
        <item x="1"/>
        <item x="104"/>
        <item x="130"/>
        <item x="34"/>
        <item x="2"/>
        <item x="102"/>
        <item x="59"/>
        <item x="110"/>
        <item x="88"/>
        <item x="51"/>
        <item x="119"/>
        <item x="5"/>
        <item x="105"/>
        <item x="20"/>
        <item x="135"/>
        <item x="10"/>
        <item x="54"/>
        <item t="default"/>
      </items>
    </pivotField>
    <pivotField showAll="0"/>
    <pivotField showAll="0"/>
    <pivotField showAll="0">
      <items count="7">
        <item x="2"/>
        <item x="5"/>
        <item x="0"/>
        <item x="1"/>
        <item x="3"/>
        <item x="4"/>
        <item t="default"/>
      </items>
    </pivotField>
    <pivotField showAll="0"/>
    <pivotField dataField="1" numFmtId="1" showAll="0"/>
    <pivotField showAll="0"/>
    <pivotField showAll="0"/>
  </pivotFields>
  <rowItems count="1">
    <i/>
  </rowItems>
  <colItems count="1">
    <i/>
  </colItems>
  <dataFields count="1">
    <dataField name="Average of Years of Service"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8D23A4-7493-44D2-8434-AB828676AA69}"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6" rowHeaderCaption="Department Name">
  <location ref="A13:B17" firstHeaderRow="1" firstDataRow="1" firstDataCol="1"/>
  <pivotFields count="13">
    <pivotField showAll="0"/>
    <pivotField showAll="0"/>
    <pivotField showAll="0"/>
    <pivotField showAll="0">
      <items count="7">
        <item x="2"/>
        <item x="5"/>
        <item x="0"/>
        <item x="1"/>
        <item x="3"/>
        <item x="4"/>
        <item t="default"/>
      </items>
    </pivotField>
    <pivotField numFmtId="164" showAll="0"/>
    <pivotField dataField="1" numFmtId="165" showAll="0"/>
    <pivotField showAll="0"/>
    <pivotField showAll="0"/>
    <pivotField axis="axisRow" showAll="0" measureFilter="1">
      <items count="7">
        <item x="2"/>
        <item x="5"/>
        <item x="0"/>
        <item x="1"/>
        <item x="3"/>
        <item x="4"/>
        <item t="default"/>
      </items>
    </pivotField>
    <pivotField showAll="0"/>
    <pivotField numFmtId="1" showAll="0"/>
    <pivotField showAll="0"/>
    <pivotField showAll="0"/>
  </pivotFields>
  <rowFields count="1">
    <field x="8"/>
  </rowFields>
  <rowItems count="4">
    <i>
      <x/>
    </i>
    <i>
      <x v="1"/>
    </i>
    <i>
      <x v="5"/>
    </i>
    <i t="grand">
      <x/>
    </i>
  </rowItems>
  <colItems count="1">
    <i/>
  </colItems>
  <dataFields count="1">
    <dataField name="Average of Salary" fld="5" subtotal="average" baseField="3" baseItem="0" numFmtId="165"/>
  </dataFields>
  <chartFormats count="17">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8" count="1" selected="0">
            <x v="0"/>
          </reference>
        </references>
      </pivotArea>
    </chartFormat>
    <chartFormat chart="39" format="7">
      <pivotArea type="data" outline="0" fieldPosition="0">
        <references count="2">
          <reference field="4294967294" count="1" selected="0">
            <x v="0"/>
          </reference>
          <reference field="8" count="1" selected="0">
            <x v="1"/>
          </reference>
        </references>
      </pivotArea>
    </chartFormat>
    <chartFormat chart="39" format="8">
      <pivotArea type="data" outline="0" fieldPosition="0">
        <references count="2">
          <reference field="4294967294" count="1" selected="0">
            <x v="0"/>
          </reference>
          <reference field="8" count="1" selected="0">
            <x v="5"/>
          </reference>
        </references>
      </pivotArea>
    </chartFormat>
    <chartFormat chart="45" format="13" series="1">
      <pivotArea type="data" outline="0" fieldPosition="0">
        <references count="1">
          <reference field="4294967294" count="1" selected="0">
            <x v="0"/>
          </reference>
        </references>
      </pivotArea>
    </chartFormat>
    <chartFormat chart="45" format="14">
      <pivotArea type="data" outline="0" fieldPosition="0">
        <references count="2">
          <reference field="4294967294" count="1" selected="0">
            <x v="0"/>
          </reference>
          <reference field="8" count="1" selected="0">
            <x v="0"/>
          </reference>
        </references>
      </pivotArea>
    </chartFormat>
    <chartFormat chart="45" format="15">
      <pivotArea type="data" outline="0" fieldPosition="0">
        <references count="2">
          <reference field="4294967294" count="1" selected="0">
            <x v="0"/>
          </reference>
          <reference field="8" count="1" selected="0">
            <x v="1"/>
          </reference>
        </references>
      </pivotArea>
    </chartFormat>
    <chartFormat chart="45" format="16">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6B690-CEBE-4A8E-8F33-EF73C4408A91}"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rowHeaderCaption="Department Name" colHeaderCaption="Employment status">
  <location ref="J3:L11" firstHeaderRow="1" firstDataRow="2" firstDataCol="1"/>
  <pivotFields count="13">
    <pivotField showAll="0"/>
    <pivotField showAll="0"/>
    <pivotField showAll="0"/>
    <pivotField showAll="0">
      <items count="7">
        <item x="2"/>
        <item x="5"/>
        <item x="0"/>
        <item x="1"/>
        <item x="3"/>
        <item x="4"/>
        <item t="default"/>
      </items>
    </pivotField>
    <pivotField numFmtId="164" showAll="0"/>
    <pivotField numFmtId="165" showAll="0"/>
    <pivotField dataField="1" showAll="0">
      <items count="59">
        <item x="25"/>
        <item x="18"/>
        <item x="35"/>
        <item x="44"/>
        <item x="55"/>
        <item x="40"/>
        <item x="54"/>
        <item x="4"/>
        <item x="12"/>
        <item x="6"/>
        <item x="37"/>
        <item x="10"/>
        <item x="5"/>
        <item x="15"/>
        <item x="51"/>
        <item x="0"/>
        <item x="31"/>
        <item x="2"/>
        <item x="28"/>
        <item x="49"/>
        <item x="8"/>
        <item x="19"/>
        <item x="45"/>
        <item x="9"/>
        <item x="32"/>
        <item x="17"/>
        <item x="42"/>
        <item x="21"/>
        <item x="43"/>
        <item x="1"/>
        <item x="50"/>
        <item x="3"/>
        <item x="27"/>
        <item x="23"/>
        <item x="57"/>
        <item x="46"/>
        <item x="14"/>
        <item x="29"/>
        <item x="11"/>
        <item x="24"/>
        <item x="7"/>
        <item x="22"/>
        <item x="48"/>
        <item x="52"/>
        <item x="53"/>
        <item x="30"/>
        <item x="39"/>
        <item x="16"/>
        <item x="20"/>
        <item x="36"/>
        <item x="56"/>
        <item x="13"/>
        <item x="47"/>
        <item x="34"/>
        <item x="33"/>
        <item x="41"/>
        <item x="26"/>
        <item x="38"/>
        <item t="default"/>
      </items>
    </pivotField>
    <pivotField axis="axisCol" showAll="0">
      <items count="4">
        <item x="0"/>
        <item x="1"/>
        <item h="1" x="2"/>
        <item t="default"/>
      </items>
    </pivotField>
    <pivotField axis="axisRow" showAll="0" sortType="descending">
      <items count="7">
        <item x="2"/>
        <item x="5"/>
        <item x="0"/>
        <item x="1"/>
        <item x="3"/>
        <item x="4"/>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numFmtId="1" showAll="0"/>
    <pivotField showAll="0">
      <items count="6">
        <item x="1"/>
        <item x="0"/>
        <item x="3"/>
        <item x="2"/>
        <item x="4"/>
        <item t="default"/>
      </items>
    </pivotField>
    <pivotField showAll="0"/>
  </pivotFields>
  <rowFields count="1">
    <field x="8"/>
  </rowFields>
  <rowItems count="7">
    <i>
      <x v="3"/>
    </i>
    <i>
      <x v="1"/>
    </i>
    <i>
      <x v="4"/>
    </i>
    <i>
      <x/>
    </i>
    <i>
      <x v="2"/>
    </i>
    <i>
      <x v="5"/>
    </i>
    <i t="grand">
      <x/>
    </i>
  </rowItems>
  <colFields count="1">
    <field x="7"/>
  </colFields>
  <colItems count="2">
    <i>
      <x/>
    </i>
    <i>
      <x v="1"/>
    </i>
  </colItems>
  <dataFields count="1">
    <dataField name="Average of Perf_Score" fld="6" subtotal="average" baseField="8" baseItem="0"/>
  </dataFields>
  <formats count="2">
    <format dxfId="1">
      <pivotArea outline="0" collapsedLevelsAreSubtotals="1" fieldPosition="0">
        <references count="1">
          <reference field="7" count="1" selected="0">
            <x v="0"/>
          </reference>
        </references>
      </pivotArea>
    </format>
    <format dxfId="0">
      <pivotArea outline="0" collapsedLevelsAreSubtotals="1" fieldPosition="0">
        <references count="1">
          <reference field="7" count="1" selected="0">
            <x v="1"/>
          </reference>
        </references>
      </pivotArea>
    </format>
  </formats>
  <chartFormats count="4">
    <chartFormat chart="12" format="4" series="1">
      <pivotArea type="data" outline="0" fieldPosition="0">
        <references count="2">
          <reference field="4294967294" count="1" selected="0">
            <x v="0"/>
          </reference>
          <reference field="7" count="1" selected="0">
            <x v="0"/>
          </reference>
        </references>
      </pivotArea>
    </chartFormat>
    <chartFormat chart="12" format="5" series="1">
      <pivotArea type="data" outline="0" fieldPosition="0">
        <references count="2">
          <reference field="4294967294" count="1" selected="0">
            <x v="0"/>
          </reference>
          <reference field="7" count="1" selected="0">
            <x v="1"/>
          </reference>
        </references>
      </pivotArea>
    </chartFormat>
    <chartFormat chart="16" format="8" series="1">
      <pivotArea type="data" outline="0" fieldPosition="0">
        <references count="2">
          <reference field="4294967294" count="1" selected="0">
            <x v="0"/>
          </reference>
          <reference field="7" count="1" selected="0">
            <x v="0"/>
          </reference>
        </references>
      </pivotArea>
    </chartFormat>
    <chartFormat chart="16" format="9"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3D354C-4E66-47B1-BC54-D56E84DB8DD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Department Name" colHeaderCaption="Employment status">
  <location ref="F3:G10" firstHeaderRow="1" firstDataRow="2" firstDataCol="1"/>
  <pivotFields count="13">
    <pivotField showAll="0"/>
    <pivotField showAll="0"/>
    <pivotField showAll="0"/>
    <pivotField showAll="0">
      <items count="7">
        <item x="2"/>
        <item x="5"/>
        <item x="0"/>
        <item x="1"/>
        <item x="3"/>
        <item x="4"/>
        <item t="default"/>
      </items>
    </pivotField>
    <pivotField numFmtId="164" showAll="0"/>
    <pivotField numFmtId="165" showAll="0"/>
    <pivotField showAll="0"/>
    <pivotField axis="axisCol" dataField="1" showAll="0">
      <items count="4">
        <item h="1" x="0"/>
        <item x="1"/>
        <item h="1" x="2"/>
        <item t="default"/>
      </items>
    </pivotField>
    <pivotField axis="axisRow" showAll="0" sortType="descending">
      <items count="7">
        <item x="2"/>
        <item x="5"/>
        <item x="0"/>
        <item x="1"/>
        <item x="3"/>
        <item x="4"/>
        <item t="default"/>
      </items>
      <autoSortScope>
        <pivotArea dataOnly="0" outline="0" fieldPosition="0">
          <references count="2">
            <reference field="4294967294" count="1" selected="0">
              <x v="0"/>
            </reference>
            <reference field="7" count="1" selected="0">
              <x v="1"/>
            </reference>
          </references>
        </pivotArea>
      </autoSortScope>
    </pivotField>
    <pivotField showAll="0"/>
    <pivotField numFmtId="1" showAll="0"/>
    <pivotField showAll="0"/>
    <pivotField showAll="0"/>
  </pivotFields>
  <rowFields count="1">
    <field x="8"/>
  </rowFields>
  <rowItems count="6">
    <i>
      <x v="4"/>
    </i>
    <i>
      <x v="2"/>
    </i>
    <i>
      <x v="5"/>
    </i>
    <i>
      <x/>
    </i>
    <i>
      <x v="3"/>
    </i>
    <i>
      <x v="1"/>
    </i>
  </rowItems>
  <colFields count="1">
    <field x="7"/>
  </colFields>
  <colItems count="1">
    <i>
      <x v="1"/>
    </i>
  </colItems>
  <dataFields count="1">
    <dataField name="No of Left Employe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59D9D8-38CB-4D42-84E2-70E18C57FF8F}"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9" rowHeaderCaption="Department Name">
  <location ref="A3:C10" firstHeaderRow="0" firstDataRow="1" firstDataCol="1"/>
  <pivotFields count="13">
    <pivotField dataField="1" showAll="0"/>
    <pivotField showAll="0"/>
    <pivotField showAll="0"/>
    <pivotField showAll="0">
      <items count="7">
        <item x="2"/>
        <item x="5"/>
        <item x="0"/>
        <item x="1"/>
        <item x="3"/>
        <item x="4"/>
        <item t="default"/>
      </items>
    </pivotField>
    <pivotField numFmtId="164" showAll="0"/>
    <pivotField dataField="1" numFmtId="165" showAll="0"/>
    <pivotField showAll="0"/>
    <pivotField showAll="0"/>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s>
  <rowFields count="1">
    <field x="8"/>
  </rowFields>
  <rowItems count="7">
    <i>
      <x v="2"/>
    </i>
    <i>
      <x v="5"/>
    </i>
    <i>
      <x v="4"/>
    </i>
    <i>
      <x v="3"/>
    </i>
    <i>
      <x v="1"/>
    </i>
    <i>
      <x/>
    </i>
    <i t="grand">
      <x/>
    </i>
  </rowItems>
  <colFields count="1">
    <field x="-2"/>
  </colFields>
  <colItems count="2">
    <i>
      <x/>
    </i>
    <i i="1">
      <x v="1"/>
    </i>
  </colItems>
  <dataFields count="2">
    <dataField name="Count of Employee ID" fld="0" subtotal="count" baseField="0" baseItem="0"/>
    <dataField name="Average of Salary" fld="5" subtotal="average" baseField="3" baseItem="0" numFmtId="165"/>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7" format="8" series="1">
      <pivotArea type="data" outline="0" fieldPosition="0">
        <references count="1">
          <reference field="4294967294" count="1" selected="0">
            <x v="1"/>
          </reference>
        </references>
      </pivotArea>
    </chartFormat>
    <chartFormat chart="3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5B5BC2-FFE6-4230-AE17-BAD61DE78D8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Performance Band">
  <location ref="N3:O9" firstHeaderRow="1" firstDataRow="1" firstDataCol="1"/>
  <pivotFields count="13">
    <pivotField showAll="0"/>
    <pivotField showAll="0"/>
    <pivotField showAll="0"/>
    <pivotField showAll="0">
      <items count="7">
        <item x="2"/>
        <item x="5"/>
        <item x="0"/>
        <item x="1"/>
        <item x="3"/>
        <item x="4"/>
        <item t="default"/>
      </items>
    </pivotField>
    <pivotField numFmtId="164" showAll="0"/>
    <pivotField numFmtId="165" showAll="0"/>
    <pivotField showAll="0"/>
    <pivotField showAll="0">
      <items count="4">
        <item x="0"/>
        <item x="1"/>
        <item x="2"/>
        <item t="default"/>
      </items>
    </pivotField>
    <pivotField showAll="0"/>
    <pivotField showAll="0"/>
    <pivotField numFmtId="1" showAll="0"/>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dataField="1" showAll="0"/>
  </pivotFields>
  <rowFields count="1">
    <field x="11"/>
  </rowFields>
  <rowItems count="6">
    <i>
      <x/>
    </i>
    <i>
      <x v="2"/>
    </i>
    <i>
      <x v="4"/>
    </i>
    <i>
      <x v="1"/>
    </i>
    <i>
      <x v="3"/>
    </i>
    <i t="grand">
      <x/>
    </i>
  </rowItems>
  <colItems count="1">
    <i/>
  </colItems>
  <dataFields count="1">
    <dataField name="Sum of Eligible Bonus Amount" fld="12" baseField="0" baseItem="0"/>
  </dataFields>
  <chartFormats count="3">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Code" xr10:uid="{4A4620FC-704F-4429-9182-58962575876B}" sourceName="Dept Code">
  <pivotTables>
    <pivotTable tabId="5" name="PivotTable3"/>
    <pivotTable tabId="5" name="PivotTable1"/>
    <pivotTable tabId="5" name="PivotTable2"/>
    <pivotTable tabId="5" name="PivotTable4"/>
    <pivotTable tabId="5" name="PivotTable5"/>
    <pivotTable tabId="5" name="PivotTable8"/>
  </pivotTables>
  <data>
    <tabular pivotCacheId="1284890806">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A946E3E2-5EAA-45D2-B8A2-06840560343F}" sourceName="Employment status ">
  <pivotTables>
    <pivotTable tabId="5" name="PivotTable4"/>
  </pivotTables>
  <data>
    <tabular pivotCacheId="128489080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911C3344-D0F4-474F-B80D-4B4400337DE5}" sourceName="Performance Band">
  <pivotTables>
    <pivotTable tabId="5" name="PivotTable3"/>
  </pivotTables>
  <data>
    <tabular pivotCacheId="1284890806">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Code" xr10:uid="{48DFA806-E7CC-4256-BBA9-6A8E06BA6326}" cache="Slicer_Dept_Code" caption="Dept Code" columnCount="2" style="SlicerStyleDark4" rowHeight="241300"/>
  <slicer name="Employment status " xr10:uid="{01FDE4F3-5AB7-482A-908F-9A42328E0EE5}" cache="Slicer_Employment_status" caption="Employment status " columnCount="2" style="SlicerStyleDark4" rowHeight="241300"/>
  <slicer name="Performance Band" xr10:uid="{0FADC853-912F-4028-8A64-169380CD7A34}" cache="Slicer_Performance_Band" caption="Performance Band"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8EC02-725C-4497-A850-B84E12E7ADE7}" name="EMPLOYEE" displayName="EMPLOYEE" ref="A1:M151" totalsRowShown="0" headerRowDxfId="10">
  <autoFilter ref="A1:M151" xr:uid="{0B48EC02-725C-4497-A850-B84E12E7ADE7}"/>
  <tableColumns count="13">
    <tableColumn id="1" xr3:uid="{C4EB4D93-9A2A-46E7-BB9E-D9C0652156C4}" name="Employee ID"/>
    <tableColumn id="2" xr3:uid="{C287557B-4B32-45F1-8447-87A7BF6C4640}" name="First_Name"/>
    <tableColumn id="3" xr3:uid="{47DBDCE1-EABF-45C9-B5A7-35AF47CD6099}" name="Last_Name"/>
    <tableColumn id="4" xr3:uid="{163ED60C-45C8-4454-9DF8-B7E1106D546A}" name="Dept Code" dataDxfId="9"/>
    <tableColumn id="5" xr3:uid="{77D84250-9F52-4F6F-ABAD-44746F978DD6}" name="Hire Date" dataDxfId="8"/>
    <tableColumn id="6" xr3:uid="{207976B2-9C30-4A1F-BC28-28D0698FBFA8}" name="Salary" dataDxfId="7"/>
    <tableColumn id="7" xr3:uid="{F1974836-3AD9-414E-9954-52FDA7ED5D6E}" name="Perf_Score"/>
    <tableColumn id="8" xr3:uid="{528929CD-CFAF-43E2-8749-DB3A270CBDC7}" name="Employment status "/>
    <tableColumn id="10" xr3:uid="{3FAD5347-0CB3-44E2-85D6-5AFC9ACAD114}" name="Department Name" dataDxfId="6">
      <calculatedColumnFormula>VLOOKUP(EMPLOYEE[[#This Row],[Dept Code]],Lookup_Departments!$A$1:$B$7,2,FALSE)</calculatedColumnFormula>
    </tableColumn>
    <tableColumn id="11" xr3:uid="{0DBF1FB4-E1B8-4FA1-AF6E-6256D9EB4F25}" name="Full Name" dataDxfId="5">
      <calculatedColumnFormula>CONCATENATE(EMPLOYEE[[#This Row],[First_Name]]," "," ",EMPLOYEE[[#This Row],[Last_Name]])</calculatedColumnFormula>
    </tableColumn>
    <tableColumn id="12" xr3:uid="{3A0A429B-2C9A-435B-8A91-03937FE11F8F}" name="Years of Service" dataDxfId="4">
      <calculatedColumnFormula>DATEDIF(EMPLOYEE[[#This Row],[Hire Date]],TODAY(),"Y")</calculatedColumnFormula>
    </tableColumn>
    <tableColumn id="13" xr3:uid="{09F9FFF3-2DFE-4EB0-9D06-67D1D7D76FB3}" name="Performance Band" dataDxfId="3">
      <calculatedColumnFormula>IF(EMPLOYEE[[#This Row],[Perf_Score]]&gt;=95,"Outstanding",IF(EMPLOYEE[[#This Row],[Perf_Score]]&gt;=85,"Exceeding",IF(EMPLOYEE[[#This Row],[Perf_Score]]&gt;=70,"Achieving",IF(EMPLOYEE[[#This Row],[Perf_Score]]&gt;=50,"Developing",IF(EMPLOYEE[[#This Row],[Perf_Score]]&gt;=0,"Needs Improvement","NA")))))</calculatedColumnFormula>
    </tableColumn>
    <tableColumn id="14" xr3:uid="{F6349419-8074-4746-B0CD-DCCBC2B2CFBC}" name="Eligible Bonus Amount" dataDxfId="2" dataCellStyle="Currency">
      <calculatedColumnFormula>IF(EMPLOYEE[[#This Row],[Perf_Score]]&gt;=95,0.12,IF(EMPLOYEE[[#This Row],[Perf_Score]]&gt;=85,0.08,IF(EMPLOYEE[[#This Row],[Perf_Score]]&gt;=70,0.05,IF(EMPLOYEE[[#This Row],[Perf_Score]]&gt;=50,0.02,IF(EMPLOYEE[[#This Row],[Perf_Score]]&gt;=0,0,"NA")))))</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workbookViewId="0">
      <selection activeCell="J2" sqref="J2"/>
    </sheetView>
  </sheetViews>
  <sheetFormatPr defaultRowHeight="15" x14ac:dyDescent="0.25"/>
  <cols>
    <col min="1" max="1" width="14.42578125" bestFit="1" customWidth="1"/>
    <col min="2" max="2" width="13.42578125" bestFit="1" customWidth="1"/>
    <col min="3" max="3" width="13" bestFit="1" customWidth="1"/>
    <col min="4" max="4" width="12.5703125" style="2" bestFit="1" customWidth="1"/>
    <col min="5" max="5" width="11.5703125" style="3" bestFit="1" customWidth="1"/>
    <col min="6" max="6" width="8.5703125" style="4" bestFit="1" customWidth="1"/>
    <col min="7" max="7" width="12.85546875" bestFit="1" customWidth="1"/>
    <col min="8" max="8" width="21" bestFit="1" customWidth="1"/>
    <col min="9" max="9" width="22.5703125" bestFit="1" customWidth="1"/>
    <col min="10" max="10" width="18.7109375" bestFit="1" customWidth="1"/>
    <col min="11" max="11" width="17.42578125" style="13" bestFit="1" customWidth="1"/>
    <col min="12" max="12" width="19.85546875" bestFit="1" customWidth="1"/>
    <col min="13" max="13" width="23.7109375" bestFit="1" customWidth="1"/>
  </cols>
  <sheetData>
    <row r="1" spans="1:13" s="10" customFormat="1" x14ac:dyDescent="0.25">
      <c r="A1" s="5" t="s">
        <v>212</v>
      </c>
      <c r="B1" s="5" t="s">
        <v>0</v>
      </c>
      <c r="C1" s="5" t="s">
        <v>1</v>
      </c>
      <c r="D1" s="6" t="s">
        <v>2</v>
      </c>
      <c r="E1" s="7" t="s">
        <v>3</v>
      </c>
      <c r="F1" s="8" t="s">
        <v>4</v>
      </c>
      <c r="G1" s="5" t="s">
        <v>5</v>
      </c>
      <c r="H1" s="9" t="s">
        <v>213</v>
      </c>
      <c r="I1" s="11" t="s">
        <v>215</v>
      </c>
      <c r="J1" s="11" t="s">
        <v>214</v>
      </c>
      <c r="K1" s="12" t="s">
        <v>216</v>
      </c>
      <c r="L1" s="11" t="s">
        <v>217</v>
      </c>
      <c r="M1" s="11" t="s">
        <v>218</v>
      </c>
    </row>
    <row r="2" spans="1:13" x14ac:dyDescent="0.25">
      <c r="A2" t="s">
        <v>6</v>
      </c>
      <c r="B2" t="s">
        <v>7</v>
      </c>
      <c r="C2" t="s">
        <v>8</v>
      </c>
      <c r="D2" s="2" t="s">
        <v>9</v>
      </c>
      <c r="E2" s="3">
        <v>43093</v>
      </c>
      <c r="F2" s="4">
        <v>50361</v>
      </c>
      <c r="G2">
        <v>52</v>
      </c>
      <c r="H2" t="s">
        <v>36</v>
      </c>
      <c r="I2" t="str">
        <f>VLOOKUP(EMPLOYEE[[#This Row],[Dept Code]],Lookup_Departments!$A$1:$B$7,2,FALSE)</f>
        <v>Information Technology</v>
      </c>
      <c r="J2" t="str">
        <f>CONCATENATE(EMPLOYEE[[#This Row],[First_Name]]," "," ",EMPLOYEE[[#This Row],[Last_Name]])</f>
        <v>Emily  Brown</v>
      </c>
      <c r="K2" s="13">
        <f ca="1">DATEDIF(EMPLOYEE[[#This Row],[Hire Date]],TODAY(),"Y")</f>
        <v>8</v>
      </c>
      <c r="L2" t="str">
        <f>IF(EMPLOYEE[[#This Row],[Perf_Score]]&gt;=95,"Outstanding",IF(EMPLOYEE[[#This Row],[Perf_Score]]&gt;=85,"Exceeding",IF(EMPLOYEE[[#This Row],[Perf_Score]]&gt;=70,"Achieving",IF(EMPLOYEE[[#This Row],[Perf_Score]]&gt;=50,"Developing",IF(EMPLOYEE[[#This Row],[Perf_Score]]&gt;=0,"Needs Improvement","NA")))))</f>
        <v>Developing</v>
      </c>
      <c r="M2" s="18">
        <f>IF(EMPLOYEE[[#This Row],[Perf_Score]]&gt;=95,0.12,IF(EMPLOYEE[[#This Row],[Perf_Score]]&gt;=85,0.08,IF(EMPLOYEE[[#This Row],[Perf_Score]]&gt;=70,0.05,IF(EMPLOYEE[[#This Row],[Perf_Score]]&gt;=50,0.02,IF(EMPLOYEE[[#This Row],[Perf_Score]]&gt;=0,0,"NA")))))</f>
        <v>0.02</v>
      </c>
    </row>
    <row r="3" spans="1:13" x14ac:dyDescent="0.25">
      <c r="A3" t="s">
        <v>10</v>
      </c>
      <c r="B3" t="s">
        <v>11</v>
      </c>
      <c r="C3" t="s">
        <v>12</v>
      </c>
      <c r="D3" s="2" t="s">
        <v>13</v>
      </c>
      <c r="E3" s="3">
        <v>44659</v>
      </c>
      <c r="F3" s="4">
        <v>112673</v>
      </c>
      <c r="G3">
        <v>68</v>
      </c>
      <c r="H3" t="s">
        <v>36</v>
      </c>
      <c r="I3" t="str">
        <f>VLOOKUP(EMPLOYEE[[#This Row],[Dept Code]],Lookup_Departments!$A$1:$B$7,2,FALSE)</f>
        <v>Marketing</v>
      </c>
      <c r="J3" t="str">
        <f>CONCATENATE(EMPLOYEE[[#This Row],[First_Name]]," "," ",EMPLOYEE[[#This Row],[Last_Name]])</f>
        <v>Richard  Hernandez</v>
      </c>
      <c r="K3" s="13">
        <f ca="1">DATEDIF(EMPLOYEE[[#This Row],[Hire Date]],TODAY(),"Y")</f>
        <v>4</v>
      </c>
      <c r="L3" t="str">
        <f>IF(EMPLOYEE[[#This Row],[Perf_Score]]&gt;=95,"Outstanding",IF(EMPLOYEE[[#This Row],[Perf_Score]]&gt;=85,"Exceeding",IF(EMPLOYEE[[#This Row],[Perf_Score]]&gt;=70,"Achieving",IF(EMPLOYEE[[#This Row],[Perf_Score]]&gt;=50,"Developing",IF(EMPLOYEE[[#This Row],[Perf_Score]]&gt;=0,"Needs Improvement","NA")))))</f>
        <v>Developing</v>
      </c>
      <c r="M3" s="18">
        <f>IF(EMPLOYEE[[#This Row],[Perf_Score]]&gt;=95,0.12,IF(EMPLOYEE[[#This Row],[Perf_Score]]&gt;=85,0.08,IF(EMPLOYEE[[#This Row],[Perf_Score]]&gt;=70,0.05,IF(EMPLOYEE[[#This Row],[Perf_Score]]&gt;=50,0.02,IF(EMPLOYEE[[#This Row],[Perf_Score]]&gt;=0,0,"NA")))))</f>
        <v>0.02</v>
      </c>
    </row>
    <row r="4" spans="1:13" x14ac:dyDescent="0.25">
      <c r="A4" t="s">
        <v>14</v>
      </c>
      <c r="B4" t="s">
        <v>7</v>
      </c>
      <c r="C4" t="s">
        <v>15</v>
      </c>
      <c r="D4" s="2" t="s">
        <v>9</v>
      </c>
      <c r="E4" s="3">
        <v>42431</v>
      </c>
      <c r="F4" s="4">
        <v>114425</v>
      </c>
      <c r="G4">
        <v>54</v>
      </c>
      <c r="H4" t="s">
        <v>23</v>
      </c>
      <c r="I4" t="str">
        <f>VLOOKUP(EMPLOYEE[[#This Row],[Dept Code]],Lookup_Departments!$A$1:$B$7,2,FALSE)</f>
        <v>Information Technology</v>
      </c>
      <c r="J4" t="str">
        <f>CONCATENATE(EMPLOYEE[[#This Row],[First_Name]]," "," ",EMPLOYEE[[#This Row],[Last_Name]])</f>
        <v>Emily  Gonzalez</v>
      </c>
      <c r="K4" s="13">
        <f ca="1">DATEDIF(EMPLOYEE[[#This Row],[Hire Date]],TODAY(),"Y")</f>
        <v>10</v>
      </c>
      <c r="L4" t="str">
        <f>IF(EMPLOYEE[[#This Row],[Perf_Score]]&gt;=95,"Outstanding",IF(EMPLOYEE[[#This Row],[Perf_Score]]&gt;=85,"Exceeding",IF(EMPLOYEE[[#This Row],[Perf_Score]]&gt;=70,"Achieving",IF(EMPLOYEE[[#This Row],[Perf_Score]]&gt;=50,"Developing",IF(EMPLOYEE[[#This Row],[Perf_Score]]&gt;=0,"Needs Improvement","NA")))))</f>
        <v>Developing</v>
      </c>
      <c r="M4" s="18">
        <f>IF(EMPLOYEE[[#This Row],[Perf_Score]]&gt;=95,0.12,IF(EMPLOYEE[[#This Row],[Perf_Score]]&gt;=85,0.08,IF(EMPLOYEE[[#This Row],[Perf_Score]]&gt;=70,0.05,IF(EMPLOYEE[[#This Row],[Perf_Score]]&gt;=50,0.02,IF(EMPLOYEE[[#This Row],[Perf_Score]]&gt;=0,0,"NA")))))</f>
        <v>0.02</v>
      </c>
    </row>
    <row r="5" spans="1:13" x14ac:dyDescent="0.25">
      <c r="A5" t="s">
        <v>16</v>
      </c>
      <c r="B5" t="s">
        <v>17</v>
      </c>
      <c r="C5" t="s">
        <v>18</v>
      </c>
      <c r="D5" s="2" t="s">
        <v>19</v>
      </c>
      <c r="E5" s="3">
        <v>45110</v>
      </c>
      <c r="F5" s="4">
        <v>103831</v>
      </c>
      <c r="G5">
        <v>70</v>
      </c>
      <c r="H5" t="s">
        <v>36</v>
      </c>
      <c r="I5" t="str">
        <f>VLOOKUP(EMPLOYEE[[#This Row],[Dept Code]],Lookup_Departments!$A$1:$B$7,2,FALSE)</f>
        <v>Finance</v>
      </c>
      <c r="J5" t="str">
        <f>CONCATENATE(EMPLOYEE[[#This Row],[First_Name]]," "," ",EMPLOYEE[[#This Row],[Last_Name]])</f>
        <v>John  Martinez</v>
      </c>
      <c r="K5" s="13">
        <f ca="1">DATEDIF(EMPLOYEE[[#This Row],[Hire Date]],TODAY(),"Y")</f>
        <v>3</v>
      </c>
      <c r="L5" t="str">
        <f>IF(EMPLOYEE[[#This Row],[Perf_Score]]&gt;=95,"Outstanding",IF(EMPLOYEE[[#This Row],[Perf_Score]]&gt;=85,"Exceeding",IF(EMPLOYEE[[#This Row],[Perf_Score]]&gt;=70,"Achieving",IF(EMPLOYEE[[#This Row],[Perf_Score]]&gt;=50,"Developing",IF(EMPLOYEE[[#This Row],[Perf_Score]]&gt;=0,"Needs Improvement","NA")))))</f>
        <v>Achieving</v>
      </c>
      <c r="M5" s="18">
        <f>IF(EMPLOYEE[[#This Row],[Perf_Score]]&gt;=95,0.12,IF(EMPLOYEE[[#This Row],[Perf_Score]]&gt;=85,0.08,IF(EMPLOYEE[[#This Row],[Perf_Score]]&gt;=70,0.05,IF(EMPLOYEE[[#This Row],[Perf_Score]]&gt;=50,0.02,IF(EMPLOYEE[[#This Row],[Perf_Score]]&gt;=0,0,"NA")))))</f>
        <v>0.05</v>
      </c>
    </row>
    <row r="6" spans="1:13" x14ac:dyDescent="0.25">
      <c r="A6" t="s">
        <v>20</v>
      </c>
      <c r="B6" t="s">
        <v>21</v>
      </c>
      <c r="C6" t="s">
        <v>22</v>
      </c>
      <c r="D6" s="2" t="s">
        <v>9</v>
      </c>
      <c r="E6" s="3">
        <v>44977</v>
      </c>
      <c r="F6" s="4">
        <v>73785</v>
      </c>
      <c r="G6">
        <v>40</v>
      </c>
      <c r="H6" t="s">
        <v>23</v>
      </c>
      <c r="I6" t="str">
        <f>VLOOKUP(EMPLOYEE[[#This Row],[Dept Code]],Lookup_Departments!$A$1:$B$7,2,FALSE)</f>
        <v>Information Technology</v>
      </c>
      <c r="J6" t="str">
        <f>CONCATENATE(EMPLOYEE[[#This Row],[First_Name]]," "," ",EMPLOYEE[[#This Row],[Last_Name]])</f>
        <v>Thomas  Smith</v>
      </c>
      <c r="K6" s="13">
        <f ca="1">DATEDIF(EMPLOYEE[[#This Row],[Hire Date]],TODAY(),"Y")</f>
        <v>3</v>
      </c>
      <c r="L6" t="str">
        <f>IF(EMPLOYEE[[#This Row],[Perf_Score]]&gt;=95,"Outstanding",IF(EMPLOYEE[[#This Row],[Perf_Score]]&gt;=85,"Exceeding",IF(EMPLOYEE[[#This Row],[Perf_Score]]&gt;=70,"Achieving",IF(EMPLOYEE[[#This Row],[Perf_Score]]&gt;=50,"Developing",IF(EMPLOYEE[[#This Row],[Perf_Score]]&gt;=0,"Needs Improvement","NA")))))</f>
        <v>Needs Improvement</v>
      </c>
      <c r="M6" s="18">
        <f>IF(EMPLOYEE[[#This Row],[Perf_Score]]&gt;=95,0.12,IF(EMPLOYEE[[#This Row],[Perf_Score]]&gt;=85,0.08,IF(EMPLOYEE[[#This Row],[Perf_Score]]&gt;=70,0.05,IF(EMPLOYEE[[#This Row],[Perf_Score]]&gt;=50,0.02,IF(EMPLOYEE[[#This Row],[Perf_Score]]&gt;=0,0,"NA")))))</f>
        <v>0</v>
      </c>
    </row>
    <row r="7" spans="1:13" x14ac:dyDescent="0.25">
      <c r="A7" t="s">
        <v>24</v>
      </c>
      <c r="B7" t="s">
        <v>7</v>
      </c>
      <c r="C7" t="s">
        <v>25</v>
      </c>
      <c r="D7" s="2" t="s">
        <v>26</v>
      </c>
      <c r="E7" s="3">
        <v>43892</v>
      </c>
      <c r="F7" s="4">
        <v>115882</v>
      </c>
      <c r="G7">
        <v>49</v>
      </c>
      <c r="H7" t="s">
        <v>36</v>
      </c>
      <c r="I7" t="str">
        <f>VLOOKUP(EMPLOYEE[[#This Row],[Dept Code]],Lookup_Departments!$A$1:$B$7,2,FALSE)</f>
        <v>Operations</v>
      </c>
      <c r="J7" t="str">
        <f>CONCATENATE(EMPLOYEE[[#This Row],[First_Name]]," "," ",EMPLOYEE[[#This Row],[Last_Name]])</f>
        <v>Emily  Johnson</v>
      </c>
      <c r="K7" s="13">
        <f ca="1">DATEDIF(EMPLOYEE[[#This Row],[Hire Date]],TODAY(),"Y")</f>
        <v>6</v>
      </c>
      <c r="L7" t="str">
        <f>IF(EMPLOYEE[[#This Row],[Perf_Score]]&gt;=95,"Outstanding",IF(EMPLOYEE[[#This Row],[Perf_Score]]&gt;=85,"Exceeding",IF(EMPLOYEE[[#This Row],[Perf_Score]]&gt;=70,"Achieving",IF(EMPLOYEE[[#This Row],[Perf_Score]]&gt;=50,"Developing",IF(EMPLOYEE[[#This Row],[Perf_Score]]&gt;=0,"Needs Improvement","NA")))))</f>
        <v>Needs Improvement</v>
      </c>
      <c r="M7" s="18">
        <f>IF(EMPLOYEE[[#This Row],[Perf_Score]]&gt;=95,0.12,IF(EMPLOYEE[[#This Row],[Perf_Score]]&gt;=85,0.08,IF(EMPLOYEE[[#This Row],[Perf_Score]]&gt;=70,0.05,IF(EMPLOYEE[[#This Row],[Perf_Score]]&gt;=50,0.02,IF(EMPLOYEE[[#This Row],[Perf_Score]]&gt;=0,0,"NA")))))</f>
        <v>0</v>
      </c>
    </row>
    <row r="8" spans="1:13" x14ac:dyDescent="0.25">
      <c r="A8" t="s">
        <v>27</v>
      </c>
      <c r="B8" t="s">
        <v>17</v>
      </c>
      <c r="C8" t="s">
        <v>28</v>
      </c>
      <c r="D8" s="2" t="s">
        <v>26</v>
      </c>
      <c r="E8" s="3">
        <v>45272</v>
      </c>
      <c r="F8" s="4">
        <v>59980</v>
      </c>
      <c r="G8">
        <v>70</v>
      </c>
      <c r="H8" t="s">
        <v>23</v>
      </c>
      <c r="I8" t="str">
        <f>VLOOKUP(EMPLOYEE[[#This Row],[Dept Code]],Lookup_Departments!$A$1:$B$7,2,FALSE)</f>
        <v>Operations</v>
      </c>
      <c r="J8" t="str">
        <f>CONCATENATE(EMPLOYEE[[#This Row],[First_Name]]," "," ",EMPLOYEE[[#This Row],[Last_Name]])</f>
        <v>John  Wilson</v>
      </c>
      <c r="K8" s="13">
        <f ca="1">DATEDIF(EMPLOYEE[[#This Row],[Hire Date]],TODAY(),"Y")</f>
        <v>2</v>
      </c>
      <c r="L8" t="str">
        <f>IF(EMPLOYEE[[#This Row],[Perf_Score]]&gt;=95,"Outstanding",IF(EMPLOYEE[[#This Row],[Perf_Score]]&gt;=85,"Exceeding",IF(EMPLOYEE[[#This Row],[Perf_Score]]&gt;=70,"Achieving",IF(EMPLOYEE[[#This Row],[Perf_Score]]&gt;=50,"Developing",IF(EMPLOYEE[[#This Row],[Perf_Score]]&gt;=0,"Needs Improvement","NA")))))</f>
        <v>Achieving</v>
      </c>
      <c r="M8" s="18">
        <f>IF(EMPLOYEE[[#This Row],[Perf_Score]]&gt;=95,0.12,IF(EMPLOYEE[[#This Row],[Perf_Score]]&gt;=85,0.08,IF(EMPLOYEE[[#This Row],[Perf_Score]]&gt;=70,0.05,IF(EMPLOYEE[[#This Row],[Perf_Score]]&gt;=50,0.02,IF(EMPLOYEE[[#This Row],[Perf_Score]]&gt;=0,0,"NA")))))</f>
        <v>0.05</v>
      </c>
    </row>
    <row r="9" spans="1:13" x14ac:dyDescent="0.25">
      <c r="A9" t="s">
        <v>29</v>
      </c>
      <c r="B9" t="s">
        <v>30</v>
      </c>
      <c r="C9" t="s">
        <v>22</v>
      </c>
      <c r="D9" s="2" t="s">
        <v>26</v>
      </c>
      <c r="E9" s="3">
        <v>44174</v>
      </c>
      <c r="F9" s="4">
        <v>68728</v>
      </c>
      <c r="G9">
        <v>45</v>
      </c>
      <c r="H9" t="s">
        <v>36</v>
      </c>
      <c r="I9" t="str">
        <f>VLOOKUP(EMPLOYEE[[#This Row],[Dept Code]],Lookup_Departments!$A$1:$B$7,2,FALSE)</f>
        <v>Operations</v>
      </c>
      <c r="J9" t="str">
        <f>CONCATENATE(EMPLOYEE[[#This Row],[First_Name]]," "," ",EMPLOYEE[[#This Row],[Last_Name]])</f>
        <v>Jessica  Smith</v>
      </c>
      <c r="K9" s="13">
        <f ca="1">DATEDIF(EMPLOYEE[[#This Row],[Hire Date]],TODAY(),"Y")</f>
        <v>5</v>
      </c>
      <c r="L9" t="str">
        <f>IF(EMPLOYEE[[#This Row],[Perf_Score]]&gt;=95,"Outstanding",IF(EMPLOYEE[[#This Row],[Perf_Score]]&gt;=85,"Exceeding",IF(EMPLOYEE[[#This Row],[Perf_Score]]&gt;=70,"Achieving",IF(EMPLOYEE[[#This Row],[Perf_Score]]&gt;=50,"Developing",IF(EMPLOYEE[[#This Row],[Perf_Score]]&gt;=0,"Needs Improvement","NA")))))</f>
        <v>Needs Improvement</v>
      </c>
      <c r="M9" s="18">
        <f>IF(EMPLOYEE[[#This Row],[Perf_Score]]&gt;=95,0.12,IF(EMPLOYEE[[#This Row],[Perf_Score]]&gt;=85,0.08,IF(EMPLOYEE[[#This Row],[Perf_Score]]&gt;=70,0.05,IF(EMPLOYEE[[#This Row],[Perf_Score]]&gt;=50,0.02,IF(EMPLOYEE[[#This Row],[Perf_Score]]&gt;=0,0,"NA")))))</f>
        <v>0</v>
      </c>
    </row>
    <row r="10" spans="1:13" x14ac:dyDescent="0.25">
      <c r="A10" t="s">
        <v>31</v>
      </c>
      <c r="B10" t="s">
        <v>30</v>
      </c>
      <c r="C10" t="s">
        <v>32</v>
      </c>
      <c r="D10" s="2" t="s">
        <v>19</v>
      </c>
      <c r="E10" s="3">
        <v>43107</v>
      </c>
      <c r="F10" s="4">
        <v>102139</v>
      </c>
      <c r="G10">
        <v>79</v>
      </c>
      <c r="H10" t="s">
        <v>36</v>
      </c>
      <c r="I10" t="str">
        <f>VLOOKUP(EMPLOYEE[[#This Row],[Dept Code]],Lookup_Departments!$A$1:$B$7,2,FALSE)</f>
        <v>Finance</v>
      </c>
      <c r="J10" t="str">
        <f>CONCATENATE(EMPLOYEE[[#This Row],[First_Name]]," "," ",EMPLOYEE[[#This Row],[Last_Name]])</f>
        <v>Jessica  Rodriguez</v>
      </c>
      <c r="K10" s="13">
        <f ca="1">DATEDIF(EMPLOYEE[[#This Row],[Hire Date]],TODAY(),"Y")</f>
        <v>8</v>
      </c>
      <c r="L10" t="str">
        <f>IF(EMPLOYEE[[#This Row],[Perf_Score]]&gt;=95,"Outstanding",IF(EMPLOYEE[[#This Row],[Perf_Score]]&gt;=85,"Exceeding",IF(EMPLOYEE[[#This Row],[Perf_Score]]&gt;=70,"Achieving",IF(EMPLOYEE[[#This Row],[Perf_Score]]&gt;=50,"Developing",IF(EMPLOYEE[[#This Row],[Perf_Score]]&gt;=0,"Needs Improvement","NA")))))</f>
        <v>Achieving</v>
      </c>
      <c r="M10" s="18">
        <f>IF(EMPLOYEE[[#This Row],[Perf_Score]]&gt;=95,0.12,IF(EMPLOYEE[[#This Row],[Perf_Score]]&gt;=85,0.08,IF(EMPLOYEE[[#This Row],[Perf_Score]]&gt;=70,0.05,IF(EMPLOYEE[[#This Row],[Perf_Score]]&gt;=50,0.02,IF(EMPLOYEE[[#This Row],[Perf_Score]]&gt;=0,0,"NA")))))</f>
        <v>0.05</v>
      </c>
    </row>
    <row r="11" spans="1:13" x14ac:dyDescent="0.25">
      <c r="A11" t="s">
        <v>33</v>
      </c>
      <c r="B11" t="s">
        <v>34</v>
      </c>
      <c r="C11" t="s">
        <v>18</v>
      </c>
      <c r="D11" s="2" t="s">
        <v>35</v>
      </c>
      <c r="E11" s="3">
        <v>42676</v>
      </c>
      <c r="F11" s="4">
        <v>94998</v>
      </c>
      <c r="G11">
        <v>58</v>
      </c>
      <c r="H11" t="s">
        <v>36</v>
      </c>
      <c r="I11" t="str">
        <f>VLOOKUP(EMPLOYEE[[#This Row],[Dept Code]],Lookup_Departments!$A$1:$B$7,2,FALSE)</f>
        <v>Sales</v>
      </c>
      <c r="J11" t="str">
        <f>CONCATENATE(EMPLOYEE[[#This Row],[First_Name]]," "," ",EMPLOYEE[[#This Row],[Last_Name]])</f>
        <v>Michael  Martinez</v>
      </c>
      <c r="K11" s="13">
        <f ca="1">DATEDIF(EMPLOYEE[[#This Row],[Hire Date]],TODAY(),"Y")</f>
        <v>9</v>
      </c>
      <c r="L11" t="str">
        <f>IF(EMPLOYEE[[#This Row],[Perf_Score]]&gt;=95,"Outstanding",IF(EMPLOYEE[[#This Row],[Perf_Score]]&gt;=85,"Exceeding",IF(EMPLOYEE[[#This Row],[Perf_Score]]&gt;=70,"Achieving",IF(EMPLOYEE[[#This Row],[Perf_Score]]&gt;=50,"Developing",IF(EMPLOYEE[[#This Row],[Perf_Score]]&gt;=0,"Needs Improvement","NA")))))</f>
        <v>Developing</v>
      </c>
      <c r="M11" s="18">
        <f>IF(EMPLOYEE[[#This Row],[Perf_Score]]&gt;=95,0.12,IF(EMPLOYEE[[#This Row],[Perf_Score]]&gt;=85,0.08,IF(EMPLOYEE[[#This Row],[Perf_Score]]&gt;=70,0.05,IF(EMPLOYEE[[#This Row],[Perf_Score]]&gt;=50,0.02,IF(EMPLOYEE[[#This Row],[Perf_Score]]&gt;=0,0,"NA")))))</f>
        <v>0.02</v>
      </c>
    </row>
    <row r="12" spans="1:13" x14ac:dyDescent="0.25">
      <c r="A12" t="s">
        <v>37</v>
      </c>
      <c r="B12" t="s">
        <v>7</v>
      </c>
      <c r="C12" t="s">
        <v>38</v>
      </c>
      <c r="D12" s="2" t="s">
        <v>35</v>
      </c>
      <c r="E12" s="3">
        <v>43911</v>
      </c>
      <c r="F12" s="4">
        <v>118635</v>
      </c>
      <c r="G12">
        <v>49</v>
      </c>
      <c r="H12" t="s">
        <v>36</v>
      </c>
      <c r="I12" t="str">
        <f>VLOOKUP(EMPLOYEE[[#This Row],[Dept Code]],Lookup_Departments!$A$1:$B$7,2,FALSE)</f>
        <v>Sales</v>
      </c>
      <c r="J12" t="str">
        <f>CONCATENATE(EMPLOYEE[[#This Row],[First_Name]]," "," ",EMPLOYEE[[#This Row],[Last_Name]])</f>
        <v>Emily  Miller</v>
      </c>
      <c r="K12" s="13">
        <f ca="1">DATEDIF(EMPLOYEE[[#This Row],[Hire Date]],TODAY(),"Y")</f>
        <v>6</v>
      </c>
      <c r="L12" t="str">
        <f>IF(EMPLOYEE[[#This Row],[Perf_Score]]&gt;=95,"Outstanding",IF(EMPLOYEE[[#This Row],[Perf_Score]]&gt;=85,"Exceeding",IF(EMPLOYEE[[#This Row],[Perf_Score]]&gt;=70,"Achieving",IF(EMPLOYEE[[#This Row],[Perf_Score]]&gt;=50,"Developing",IF(EMPLOYEE[[#This Row],[Perf_Score]]&gt;=0,"Needs Improvement","NA")))))</f>
        <v>Needs Improvement</v>
      </c>
      <c r="M12" s="18">
        <f>IF(EMPLOYEE[[#This Row],[Perf_Score]]&gt;=95,0.12,IF(EMPLOYEE[[#This Row],[Perf_Score]]&gt;=85,0.08,IF(EMPLOYEE[[#This Row],[Perf_Score]]&gt;=70,0.05,IF(EMPLOYEE[[#This Row],[Perf_Score]]&gt;=50,0.02,IF(EMPLOYEE[[#This Row],[Perf_Score]]&gt;=0,0,"NA")))))</f>
        <v>0</v>
      </c>
    </row>
    <row r="13" spans="1:13" x14ac:dyDescent="0.25">
      <c r="A13" t="s">
        <v>39</v>
      </c>
      <c r="B13" t="s">
        <v>7</v>
      </c>
      <c r="C13" t="s">
        <v>12</v>
      </c>
      <c r="D13" s="2" t="s">
        <v>9</v>
      </c>
      <c r="E13" s="3">
        <v>42425</v>
      </c>
      <c r="F13" s="4">
        <v>76918</v>
      </c>
      <c r="G13">
        <v>62</v>
      </c>
      <c r="H13" t="s">
        <v>36</v>
      </c>
      <c r="I13" t="str">
        <f>VLOOKUP(EMPLOYEE[[#This Row],[Dept Code]],Lookup_Departments!$A$1:$B$7,2,FALSE)</f>
        <v>Information Technology</v>
      </c>
      <c r="J13" t="str">
        <f>CONCATENATE(EMPLOYEE[[#This Row],[First_Name]]," "," ",EMPLOYEE[[#This Row],[Last_Name]])</f>
        <v>Emily  Hernandez</v>
      </c>
      <c r="K13" s="13">
        <f ca="1">DATEDIF(EMPLOYEE[[#This Row],[Hire Date]],TODAY(),"Y")</f>
        <v>10</v>
      </c>
      <c r="L13" t="str">
        <f>IF(EMPLOYEE[[#This Row],[Perf_Score]]&gt;=95,"Outstanding",IF(EMPLOYEE[[#This Row],[Perf_Score]]&gt;=85,"Exceeding",IF(EMPLOYEE[[#This Row],[Perf_Score]]&gt;=70,"Achieving",IF(EMPLOYEE[[#This Row],[Perf_Score]]&gt;=50,"Developing",IF(EMPLOYEE[[#This Row],[Perf_Score]]&gt;=0,"Needs Improvement","NA")))))</f>
        <v>Developing</v>
      </c>
      <c r="M13" s="18">
        <f>IF(EMPLOYEE[[#This Row],[Perf_Score]]&gt;=95,0.12,IF(EMPLOYEE[[#This Row],[Perf_Score]]&gt;=85,0.08,IF(EMPLOYEE[[#This Row],[Perf_Score]]&gt;=70,0.05,IF(EMPLOYEE[[#This Row],[Perf_Score]]&gt;=50,0.02,IF(EMPLOYEE[[#This Row],[Perf_Score]]&gt;=0,0,"NA")))))</f>
        <v>0.02</v>
      </c>
    </row>
    <row r="14" spans="1:13" x14ac:dyDescent="0.25">
      <c r="A14" t="s">
        <v>40</v>
      </c>
      <c r="B14" t="s">
        <v>41</v>
      </c>
      <c r="C14" t="s">
        <v>42</v>
      </c>
      <c r="D14" s="2" t="s">
        <v>13</v>
      </c>
      <c r="E14" s="3">
        <v>44364</v>
      </c>
      <c r="F14" s="4">
        <v>61408</v>
      </c>
      <c r="G14">
        <v>48</v>
      </c>
      <c r="H14" t="s">
        <v>36</v>
      </c>
      <c r="I14" t="str">
        <f>VLOOKUP(EMPLOYEE[[#This Row],[Dept Code]],Lookup_Departments!$A$1:$B$7,2,FALSE)</f>
        <v>Marketing</v>
      </c>
      <c r="J14" t="str">
        <f>CONCATENATE(EMPLOYEE[[#This Row],[First_Name]]," "," ",EMPLOYEE[[#This Row],[Last_Name]])</f>
        <v>Jane  Williams</v>
      </c>
      <c r="K14" s="13">
        <f ca="1">DATEDIF(EMPLOYEE[[#This Row],[Hire Date]],TODAY(),"Y")</f>
        <v>5</v>
      </c>
      <c r="L14" t="str">
        <f>IF(EMPLOYEE[[#This Row],[Perf_Score]]&gt;=95,"Outstanding",IF(EMPLOYEE[[#This Row],[Perf_Score]]&gt;=85,"Exceeding",IF(EMPLOYEE[[#This Row],[Perf_Score]]&gt;=70,"Achieving",IF(EMPLOYEE[[#This Row],[Perf_Score]]&gt;=50,"Developing",IF(EMPLOYEE[[#This Row],[Perf_Score]]&gt;=0,"Needs Improvement","NA")))))</f>
        <v>Needs Improvement</v>
      </c>
      <c r="M14" s="18">
        <f>IF(EMPLOYEE[[#This Row],[Perf_Score]]&gt;=95,0.12,IF(EMPLOYEE[[#This Row],[Perf_Score]]&gt;=85,0.08,IF(EMPLOYEE[[#This Row],[Perf_Score]]&gt;=70,0.05,IF(EMPLOYEE[[#This Row],[Perf_Score]]&gt;=50,0.02,IF(EMPLOYEE[[#This Row],[Perf_Score]]&gt;=0,0,"NA")))))</f>
        <v>0</v>
      </c>
    </row>
    <row r="15" spans="1:13" x14ac:dyDescent="0.25">
      <c r="A15" t="s">
        <v>43</v>
      </c>
      <c r="B15" t="s">
        <v>41</v>
      </c>
      <c r="C15" t="s">
        <v>38</v>
      </c>
      <c r="D15" s="2" t="s">
        <v>13</v>
      </c>
      <c r="E15" s="3">
        <v>44001</v>
      </c>
      <c r="F15" s="4">
        <v>99990</v>
      </c>
      <c r="G15">
        <v>54</v>
      </c>
      <c r="H15" t="s">
        <v>36</v>
      </c>
      <c r="I15" t="str">
        <f>VLOOKUP(EMPLOYEE[[#This Row],[Dept Code]],Lookup_Departments!$A$1:$B$7,2,FALSE)</f>
        <v>Marketing</v>
      </c>
      <c r="J15" t="str">
        <f>CONCATENATE(EMPLOYEE[[#This Row],[First_Name]]," "," ",EMPLOYEE[[#This Row],[Last_Name]])</f>
        <v>Jane  Miller</v>
      </c>
      <c r="K15" s="13">
        <f ca="1">DATEDIF(EMPLOYEE[[#This Row],[Hire Date]],TODAY(),"Y")</f>
        <v>6</v>
      </c>
      <c r="L15" t="str">
        <f>IF(EMPLOYEE[[#This Row],[Perf_Score]]&gt;=95,"Outstanding",IF(EMPLOYEE[[#This Row],[Perf_Score]]&gt;=85,"Exceeding",IF(EMPLOYEE[[#This Row],[Perf_Score]]&gt;=70,"Achieving",IF(EMPLOYEE[[#This Row],[Perf_Score]]&gt;=50,"Developing",IF(EMPLOYEE[[#This Row],[Perf_Score]]&gt;=0,"Needs Improvement","NA")))))</f>
        <v>Developing</v>
      </c>
      <c r="M15" s="18">
        <f>IF(EMPLOYEE[[#This Row],[Perf_Score]]&gt;=95,0.12,IF(EMPLOYEE[[#This Row],[Perf_Score]]&gt;=85,0.08,IF(EMPLOYEE[[#This Row],[Perf_Score]]&gt;=70,0.05,IF(EMPLOYEE[[#This Row],[Perf_Score]]&gt;=50,0.02,IF(EMPLOYEE[[#This Row],[Perf_Score]]&gt;=0,0,"NA")))))</f>
        <v>0.02</v>
      </c>
    </row>
    <row r="16" spans="1:13" x14ac:dyDescent="0.25">
      <c r="A16" t="s">
        <v>44</v>
      </c>
      <c r="B16" t="s">
        <v>45</v>
      </c>
      <c r="C16" t="s">
        <v>46</v>
      </c>
      <c r="D16" s="2" t="s">
        <v>13</v>
      </c>
      <c r="E16" s="3">
        <v>43820</v>
      </c>
      <c r="F16" s="4">
        <v>80385</v>
      </c>
      <c r="G16">
        <v>68</v>
      </c>
      <c r="H16" t="s">
        <v>36</v>
      </c>
      <c r="I16" t="str">
        <f>VLOOKUP(EMPLOYEE[[#This Row],[Dept Code]],Lookup_Departments!$A$1:$B$7,2,FALSE)</f>
        <v>Marketing</v>
      </c>
      <c r="J16" t="str">
        <f>CONCATENATE(EMPLOYEE[[#This Row],[First_Name]]," "," ",EMPLOYEE[[#This Row],[Last_Name]])</f>
        <v>Robert  Jones</v>
      </c>
      <c r="K16" s="13">
        <f ca="1">DATEDIF(EMPLOYEE[[#This Row],[Hire Date]],TODAY(),"Y")</f>
        <v>6</v>
      </c>
      <c r="L16" t="str">
        <f>IF(EMPLOYEE[[#This Row],[Perf_Score]]&gt;=95,"Outstanding",IF(EMPLOYEE[[#This Row],[Perf_Score]]&gt;=85,"Exceeding",IF(EMPLOYEE[[#This Row],[Perf_Score]]&gt;=70,"Achieving",IF(EMPLOYEE[[#This Row],[Perf_Score]]&gt;=50,"Developing",IF(EMPLOYEE[[#This Row],[Perf_Score]]&gt;=0,"Needs Improvement","NA")))))</f>
        <v>Developing</v>
      </c>
      <c r="M16" s="18">
        <f>IF(EMPLOYEE[[#This Row],[Perf_Score]]&gt;=95,0.12,IF(EMPLOYEE[[#This Row],[Perf_Score]]&gt;=85,0.08,IF(EMPLOYEE[[#This Row],[Perf_Score]]&gt;=70,0.05,IF(EMPLOYEE[[#This Row],[Perf_Score]]&gt;=50,0.02,IF(EMPLOYEE[[#This Row],[Perf_Score]]&gt;=0,0,"NA")))))</f>
        <v>0.02</v>
      </c>
    </row>
    <row r="17" spans="1:13" x14ac:dyDescent="0.25">
      <c r="A17" t="s">
        <v>47</v>
      </c>
      <c r="B17" t="s">
        <v>21</v>
      </c>
      <c r="C17" t="s">
        <v>32</v>
      </c>
      <c r="D17" s="2" t="s">
        <v>35</v>
      </c>
      <c r="E17" s="3">
        <v>45169</v>
      </c>
      <c r="F17" s="4">
        <v>65290</v>
      </c>
      <c r="G17">
        <v>77</v>
      </c>
      <c r="H17" t="s">
        <v>36</v>
      </c>
      <c r="I17" t="str">
        <f>VLOOKUP(EMPLOYEE[[#This Row],[Dept Code]],Lookup_Departments!$A$1:$B$7,2,FALSE)</f>
        <v>Sales</v>
      </c>
      <c r="J17" t="str">
        <f>CONCATENATE(EMPLOYEE[[#This Row],[First_Name]]," "," ",EMPLOYEE[[#This Row],[Last_Name]])</f>
        <v>Thomas  Rodriguez</v>
      </c>
      <c r="K17" s="13">
        <f ca="1">DATEDIF(EMPLOYEE[[#This Row],[Hire Date]],TODAY(),"Y")</f>
        <v>2</v>
      </c>
      <c r="L17" t="str">
        <f>IF(EMPLOYEE[[#This Row],[Perf_Score]]&gt;=95,"Outstanding",IF(EMPLOYEE[[#This Row],[Perf_Score]]&gt;=85,"Exceeding",IF(EMPLOYEE[[#This Row],[Perf_Score]]&gt;=70,"Achieving",IF(EMPLOYEE[[#This Row],[Perf_Score]]&gt;=50,"Developing",IF(EMPLOYEE[[#This Row],[Perf_Score]]&gt;=0,"Needs Improvement","NA")))))</f>
        <v>Achieving</v>
      </c>
      <c r="M17" s="18">
        <f>IF(EMPLOYEE[[#This Row],[Perf_Score]]&gt;=95,0.12,IF(EMPLOYEE[[#This Row],[Perf_Score]]&gt;=85,0.08,IF(EMPLOYEE[[#This Row],[Perf_Score]]&gt;=70,0.05,IF(EMPLOYEE[[#This Row],[Perf_Score]]&gt;=50,0.02,IF(EMPLOYEE[[#This Row],[Perf_Score]]&gt;=0,0,"NA")))))</f>
        <v>0.05</v>
      </c>
    </row>
    <row r="18" spans="1:13" x14ac:dyDescent="0.25">
      <c r="A18" t="s">
        <v>48</v>
      </c>
      <c r="B18" t="s">
        <v>7</v>
      </c>
      <c r="C18" t="s">
        <v>49</v>
      </c>
      <c r="D18" s="2" t="s">
        <v>9</v>
      </c>
      <c r="E18" s="3">
        <v>42337</v>
      </c>
      <c r="F18" s="4">
        <v>105765</v>
      </c>
      <c r="G18">
        <v>42</v>
      </c>
      <c r="H18" t="s">
        <v>36</v>
      </c>
      <c r="I18" t="str">
        <f>VLOOKUP(EMPLOYEE[[#This Row],[Dept Code]],Lookup_Departments!$A$1:$B$7,2,FALSE)</f>
        <v>Information Technology</v>
      </c>
      <c r="J18" t="str">
        <f>CONCATENATE(EMPLOYEE[[#This Row],[First_Name]]," "," ",EMPLOYEE[[#This Row],[Last_Name]])</f>
        <v>Emily  Davis</v>
      </c>
      <c r="K18" s="13">
        <f ca="1">DATEDIF(EMPLOYEE[[#This Row],[Hire Date]],TODAY(),"Y")</f>
        <v>10</v>
      </c>
      <c r="L18" t="str">
        <f>IF(EMPLOYEE[[#This Row],[Perf_Score]]&gt;=95,"Outstanding",IF(EMPLOYEE[[#This Row],[Perf_Score]]&gt;=85,"Exceeding",IF(EMPLOYEE[[#This Row],[Perf_Score]]&gt;=70,"Achieving",IF(EMPLOYEE[[#This Row],[Perf_Score]]&gt;=50,"Developing",IF(EMPLOYEE[[#This Row],[Perf_Score]]&gt;=0,"Needs Improvement","NA")))))</f>
        <v>Needs Improvement</v>
      </c>
      <c r="M18" s="18">
        <f>IF(EMPLOYEE[[#This Row],[Perf_Score]]&gt;=95,0.12,IF(EMPLOYEE[[#This Row],[Perf_Score]]&gt;=85,0.08,IF(EMPLOYEE[[#This Row],[Perf_Score]]&gt;=70,0.05,IF(EMPLOYEE[[#This Row],[Perf_Score]]&gt;=50,0.02,IF(EMPLOYEE[[#This Row],[Perf_Score]]&gt;=0,0,"NA")))))</f>
        <v>0</v>
      </c>
    </row>
    <row r="19" spans="1:13" x14ac:dyDescent="0.25">
      <c r="A19" t="s">
        <v>50</v>
      </c>
      <c r="B19" t="s">
        <v>51</v>
      </c>
      <c r="C19" t="s">
        <v>18</v>
      </c>
      <c r="D19" s="2" t="s">
        <v>35</v>
      </c>
      <c r="E19" s="3">
        <v>42899</v>
      </c>
      <c r="F19" s="4">
        <v>102921</v>
      </c>
      <c r="G19">
        <v>49</v>
      </c>
      <c r="H19" t="s">
        <v>36</v>
      </c>
      <c r="I19" t="str">
        <f>VLOOKUP(EMPLOYEE[[#This Row],[Dept Code]],Lookup_Departments!$A$1:$B$7,2,FALSE)</f>
        <v>Sales</v>
      </c>
      <c r="J19" t="str">
        <f>CONCATENATE(EMPLOYEE[[#This Row],[First_Name]]," "," ",EMPLOYEE[[#This Row],[Last_Name]])</f>
        <v>James  Martinez</v>
      </c>
      <c r="K19" s="13">
        <f ca="1">DATEDIF(EMPLOYEE[[#This Row],[Hire Date]],TODAY(),"Y")</f>
        <v>9</v>
      </c>
      <c r="L19" t="str">
        <f>IF(EMPLOYEE[[#This Row],[Perf_Score]]&gt;=95,"Outstanding",IF(EMPLOYEE[[#This Row],[Perf_Score]]&gt;=85,"Exceeding",IF(EMPLOYEE[[#This Row],[Perf_Score]]&gt;=70,"Achieving",IF(EMPLOYEE[[#This Row],[Perf_Score]]&gt;=50,"Developing",IF(EMPLOYEE[[#This Row],[Perf_Score]]&gt;=0,"Needs Improvement","NA")))))</f>
        <v>Needs Improvement</v>
      </c>
      <c r="M19" s="18">
        <f>IF(EMPLOYEE[[#This Row],[Perf_Score]]&gt;=95,0.12,IF(EMPLOYEE[[#This Row],[Perf_Score]]&gt;=85,0.08,IF(EMPLOYEE[[#This Row],[Perf_Score]]&gt;=70,0.05,IF(EMPLOYEE[[#This Row],[Perf_Score]]&gt;=50,0.02,IF(EMPLOYEE[[#This Row],[Perf_Score]]&gt;=0,0,"NA")))))</f>
        <v>0</v>
      </c>
    </row>
    <row r="20" spans="1:13" x14ac:dyDescent="0.25">
      <c r="A20" t="s">
        <v>52</v>
      </c>
      <c r="B20" t="s">
        <v>53</v>
      </c>
      <c r="C20" t="s">
        <v>54</v>
      </c>
      <c r="D20" s="2" t="s">
        <v>13</v>
      </c>
      <c r="E20" s="3">
        <v>43235</v>
      </c>
      <c r="F20" s="4">
        <v>73984</v>
      </c>
      <c r="G20">
        <v>93</v>
      </c>
      <c r="H20" t="s">
        <v>36</v>
      </c>
      <c r="I20" t="str">
        <f>VLOOKUP(EMPLOYEE[[#This Row],[Dept Code]],Lookup_Departments!$A$1:$B$7,2,FALSE)</f>
        <v>Marketing</v>
      </c>
      <c r="J20" t="str">
        <f>CONCATENATE(EMPLOYEE[[#This Row],[First_Name]]," "," ",EMPLOYEE[[#This Row],[Last_Name]])</f>
        <v>Ashley  Lopez</v>
      </c>
      <c r="K20" s="13">
        <f ca="1">DATEDIF(EMPLOYEE[[#This Row],[Hire Date]],TODAY(),"Y")</f>
        <v>8</v>
      </c>
      <c r="L20" t="str">
        <f>IF(EMPLOYEE[[#This Row],[Perf_Score]]&gt;=95,"Outstanding",IF(EMPLOYEE[[#This Row],[Perf_Score]]&gt;=85,"Exceeding",IF(EMPLOYEE[[#This Row],[Perf_Score]]&gt;=70,"Achieving",IF(EMPLOYEE[[#This Row],[Perf_Score]]&gt;=50,"Developing",IF(EMPLOYEE[[#This Row],[Perf_Score]]&gt;=0,"Needs Improvement","NA")))))</f>
        <v>Exceeding</v>
      </c>
      <c r="M20" s="18">
        <f>IF(EMPLOYEE[[#This Row],[Perf_Score]]&gt;=95,0.12,IF(EMPLOYEE[[#This Row],[Perf_Score]]&gt;=85,0.08,IF(EMPLOYEE[[#This Row],[Perf_Score]]&gt;=70,0.05,IF(EMPLOYEE[[#This Row],[Perf_Score]]&gt;=50,0.02,IF(EMPLOYEE[[#This Row],[Perf_Score]]&gt;=0,0,"NA")))))</f>
        <v>0.08</v>
      </c>
    </row>
    <row r="21" spans="1:13" x14ac:dyDescent="0.25">
      <c r="A21" t="s">
        <v>55</v>
      </c>
      <c r="B21" t="s">
        <v>56</v>
      </c>
      <c r="C21" t="s">
        <v>15</v>
      </c>
      <c r="D21" s="2" t="s">
        <v>9</v>
      </c>
      <c r="E21" s="3">
        <v>42575</v>
      </c>
      <c r="F21" s="4">
        <v>83593</v>
      </c>
      <c r="G21">
        <v>75</v>
      </c>
      <c r="H21" t="s">
        <v>36</v>
      </c>
      <c r="I21" t="str">
        <f>VLOOKUP(EMPLOYEE[[#This Row],[Dept Code]],Lookup_Departments!$A$1:$B$7,2,FALSE)</f>
        <v>Information Technology</v>
      </c>
      <c r="J21" t="str">
        <f>CONCATENATE(EMPLOYEE[[#This Row],[First_Name]]," "," ",EMPLOYEE[[#This Row],[Last_Name]])</f>
        <v>Amanda  Gonzalez</v>
      </c>
      <c r="K21" s="13">
        <f ca="1">DATEDIF(EMPLOYEE[[#This Row],[Hire Date]],TODAY(),"Y")</f>
        <v>9</v>
      </c>
      <c r="L21" t="str">
        <f>IF(EMPLOYEE[[#This Row],[Perf_Score]]&gt;=95,"Outstanding",IF(EMPLOYEE[[#This Row],[Perf_Score]]&gt;=85,"Exceeding",IF(EMPLOYEE[[#This Row],[Perf_Score]]&gt;=70,"Achieving",IF(EMPLOYEE[[#This Row],[Perf_Score]]&gt;=50,"Developing",IF(EMPLOYEE[[#This Row],[Perf_Score]]&gt;=0,"Needs Improvement","NA")))))</f>
        <v>Achieving</v>
      </c>
      <c r="M21" s="18">
        <f>IF(EMPLOYEE[[#This Row],[Perf_Score]]&gt;=95,0.12,IF(EMPLOYEE[[#This Row],[Perf_Score]]&gt;=85,0.08,IF(EMPLOYEE[[#This Row],[Perf_Score]]&gt;=70,0.05,IF(EMPLOYEE[[#This Row],[Perf_Score]]&gt;=50,0.02,IF(EMPLOYEE[[#This Row],[Perf_Score]]&gt;=0,0,"NA")))))</f>
        <v>0.05</v>
      </c>
    </row>
    <row r="22" spans="1:13" x14ac:dyDescent="0.25">
      <c r="A22" t="s">
        <v>57</v>
      </c>
      <c r="B22" t="s">
        <v>34</v>
      </c>
      <c r="C22" t="s">
        <v>12</v>
      </c>
      <c r="D22" s="2" t="s">
        <v>19</v>
      </c>
      <c r="E22" s="3">
        <v>43076</v>
      </c>
      <c r="F22" s="4">
        <v>118527</v>
      </c>
      <c r="G22">
        <v>50</v>
      </c>
      <c r="H22" t="s">
        <v>36</v>
      </c>
      <c r="I22" t="str">
        <f>VLOOKUP(EMPLOYEE[[#This Row],[Dept Code]],Lookup_Departments!$A$1:$B$7,2,FALSE)</f>
        <v>Finance</v>
      </c>
      <c r="J22" t="str">
        <f>CONCATENATE(EMPLOYEE[[#This Row],[First_Name]]," "," ",EMPLOYEE[[#This Row],[Last_Name]])</f>
        <v>Michael  Hernandez</v>
      </c>
      <c r="K22" s="13">
        <f ca="1">DATEDIF(EMPLOYEE[[#This Row],[Hire Date]],TODAY(),"Y")</f>
        <v>8</v>
      </c>
      <c r="L22" t="str">
        <f>IF(EMPLOYEE[[#This Row],[Perf_Score]]&gt;=95,"Outstanding",IF(EMPLOYEE[[#This Row],[Perf_Score]]&gt;=85,"Exceeding",IF(EMPLOYEE[[#This Row],[Perf_Score]]&gt;=70,"Achieving",IF(EMPLOYEE[[#This Row],[Perf_Score]]&gt;=50,"Developing",IF(EMPLOYEE[[#This Row],[Perf_Score]]&gt;=0,"Needs Improvement","NA")))))</f>
        <v>Developing</v>
      </c>
      <c r="M22" s="18">
        <f>IF(EMPLOYEE[[#This Row],[Perf_Score]]&gt;=95,0.12,IF(EMPLOYEE[[#This Row],[Perf_Score]]&gt;=85,0.08,IF(EMPLOYEE[[#This Row],[Perf_Score]]&gt;=70,0.05,IF(EMPLOYEE[[#This Row],[Perf_Score]]&gt;=50,0.02,IF(EMPLOYEE[[#This Row],[Perf_Score]]&gt;=0,0,"NA")))))</f>
        <v>0.02</v>
      </c>
    </row>
    <row r="23" spans="1:13" x14ac:dyDescent="0.25">
      <c r="A23" t="s">
        <v>58</v>
      </c>
      <c r="B23" t="s">
        <v>11</v>
      </c>
      <c r="C23" t="s">
        <v>12</v>
      </c>
      <c r="D23" s="2" t="s">
        <v>13</v>
      </c>
      <c r="E23" s="3">
        <v>44353</v>
      </c>
      <c r="F23" s="4">
        <v>107871</v>
      </c>
      <c r="G23">
        <v>88</v>
      </c>
      <c r="H23" t="s">
        <v>36</v>
      </c>
      <c r="I23" t="str">
        <f>VLOOKUP(EMPLOYEE[[#This Row],[Dept Code]],Lookup_Departments!$A$1:$B$7,2,FALSE)</f>
        <v>Marketing</v>
      </c>
      <c r="J23" t="str">
        <f>CONCATENATE(EMPLOYEE[[#This Row],[First_Name]]," "," ",EMPLOYEE[[#This Row],[Last_Name]])</f>
        <v>Richard  Hernandez</v>
      </c>
      <c r="K23" s="13">
        <f ca="1">DATEDIF(EMPLOYEE[[#This Row],[Hire Date]],TODAY(),"Y")</f>
        <v>5</v>
      </c>
      <c r="L23" t="str">
        <f>IF(EMPLOYEE[[#This Row],[Perf_Score]]&gt;=95,"Outstanding",IF(EMPLOYEE[[#This Row],[Perf_Score]]&gt;=85,"Exceeding",IF(EMPLOYEE[[#This Row],[Perf_Score]]&gt;=70,"Achieving",IF(EMPLOYEE[[#This Row],[Perf_Score]]&gt;=50,"Developing",IF(EMPLOYEE[[#This Row],[Perf_Score]]&gt;=0,"Needs Improvement","NA")))))</f>
        <v>Exceeding</v>
      </c>
      <c r="M23" s="18">
        <f>IF(EMPLOYEE[[#This Row],[Perf_Score]]&gt;=95,0.12,IF(EMPLOYEE[[#This Row],[Perf_Score]]&gt;=85,0.08,IF(EMPLOYEE[[#This Row],[Perf_Score]]&gt;=70,0.05,IF(EMPLOYEE[[#This Row],[Perf_Score]]&gt;=50,0.02,IF(EMPLOYEE[[#This Row],[Perf_Score]]&gt;=0,0,"NA")))))</f>
        <v>0.08</v>
      </c>
    </row>
    <row r="24" spans="1:13" x14ac:dyDescent="0.25">
      <c r="A24" t="s">
        <v>59</v>
      </c>
      <c r="B24" t="s">
        <v>34</v>
      </c>
      <c r="C24" t="s">
        <v>32</v>
      </c>
      <c r="D24" s="2" t="s">
        <v>9</v>
      </c>
      <c r="E24" s="3">
        <v>44815</v>
      </c>
      <c r="F24" s="4">
        <v>93956</v>
      </c>
      <c r="G24">
        <v>50</v>
      </c>
      <c r="H24" t="s">
        <v>23</v>
      </c>
      <c r="I24" t="str">
        <f>VLOOKUP(EMPLOYEE[[#This Row],[Dept Code]],Lookup_Departments!$A$1:$B$7,2,FALSE)</f>
        <v>Information Technology</v>
      </c>
      <c r="J24" t="str">
        <f>CONCATENATE(EMPLOYEE[[#This Row],[First_Name]]," "," ",EMPLOYEE[[#This Row],[Last_Name]])</f>
        <v>Michael  Rodriguez</v>
      </c>
      <c r="K24" s="13">
        <f ca="1">DATEDIF(EMPLOYEE[[#This Row],[Hire Date]],TODAY(),"Y")</f>
        <v>3</v>
      </c>
      <c r="L24" t="str">
        <f>IF(EMPLOYEE[[#This Row],[Perf_Score]]&gt;=95,"Outstanding",IF(EMPLOYEE[[#This Row],[Perf_Score]]&gt;=85,"Exceeding",IF(EMPLOYEE[[#This Row],[Perf_Score]]&gt;=70,"Achieving",IF(EMPLOYEE[[#This Row],[Perf_Score]]&gt;=50,"Developing",IF(EMPLOYEE[[#This Row],[Perf_Score]]&gt;=0,"Needs Improvement","NA")))))</f>
        <v>Developing</v>
      </c>
      <c r="M24" s="18">
        <f>IF(EMPLOYEE[[#This Row],[Perf_Score]]&gt;=95,0.12,IF(EMPLOYEE[[#This Row],[Perf_Score]]&gt;=85,0.08,IF(EMPLOYEE[[#This Row],[Perf_Score]]&gt;=70,0.05,IF(EMPLOYEE[[#This Row],[Perf_Score]]&gt;=50,0.02,IF(EMPLOYEE[[#This Row],[Perf_Score]]&gt;=0,0,"NA")))))</f>
        <v>0.02</v>
      </c>
    </row>
    <row r="25" spans="1:13" x14ac:dyDescent="0.25">
      <c r="A25" t="s">
        <v>60</v>
      </c>
      <c r="B25" t="s">
        <v>30</v>
      </c>
      <c r="C25" t="s">
        <v>25</v>
      </c>
      <c r="D25" s="2" t="s">
        <v>19</v>
      </c>
      <c r="E25" s="3">
        <v>42565</v>
      </c>
      <c r="F25" s="4">
        <v>100851</v>
      </c>
      <c r="G25">
        <v>64</v>
      </c>
      <c r="H25" t="s">
        <v>36</v>
      </c>
      <c r="I25" t="str">
        <f>VLOOKUP(EMPLOYEE[[#This Row],[Dept Code]],Lookup_Departments!$A$1:$B$7,2,FALSE)</f>
        <v>Finance</v>
      </c>
      <c r="J25" t="str">
        <f>CONCATENATE(EMPLOYEE[[#This Row],[First_Name]]," "," ",EMPLOYEE[[#This Row],[Last_Name]])</f>
        <v>Jessica  Johnson</v>
      </c>
      <c r="K25" s="13">
        <f ca="1">DATEDIF(EMPLOYEE[[#This Row],[Hire Date]],TODAY(),"Y")</f>
        <v>10</v>
      </c>
      <c r="L25" t="str">
        <f>IF(EMPLOYEE[[#This Row],[Perf_Score]]&gt;=95,"Outstanding",IF(EMPLOYEE[[#This Row],[Perf_Score]]&gt;=85,"Exceeding",IF(EMPLOYEE[[#This Row],[Perf_Score]]&gt;=70,"Achieving",IF(EMPLOYEE[[#This Row],[Perf_Score]]&gt;=50,"Developing",IF(EMPLOYEE[[#This Row],[Perf_Score]]&gt;=0,"Needs Improvement","NA")))))</f>
        <v>Developing</v>
      </c>
      <c r="M25" s="18">
        <f>IF(EMPLOYEE[[#This Row],[Perf_Score]]&gt;=95,0.12,IF(EMPLOYEE[[#This Row],[Perf_Score]]&gt;=85,0.08,IF(EMPLOYEE[[#This Row],[Perf_Score]]&gt;=70,0.05,IF(EMPLOYEE[[#This Row],[Perf_Score]]&gt;=50,0.02,IF(EMPLOYEE[[#This Row],[Perf_Score]]&gt;=0,0,"NA")))))</f>
        <v>0.02</v>
      </c>
    </row>
    <row r="26" spans="1:13" x14ac:dyDescent="0.25">
      <c r="A26" t="s">
        <v>61</v>
      </c>
      <c r="B26" t="s">
        <v>53</v>
      </c>
      <c r="C26" t="s">
        <v>42</v>
      </c>
      <c r="D26" s="2" t="s">
        <v>35</v>
      </c>
      <c r="E26" s="3">
        <v>44728</v>
      </c>
      <c r="F26" s="4">
        <v>68655</v>
      </c>
      <c r="G26">
        <v>32</v>
      </c>
      <c r="H26" t="s">
        <v>36</v>
      </c>
      <c r="I26" t="str">
        <f>VLOOKUP(EMPLOYEE[[#This Row],[Dept Code]],Lookup_Departments!$A$1:$B$7,2,FALSE)</f>
        <v>Sales</v>
      </c>
      <c r="J26" t="str">
        <f>CONCATENATE(EMPLOYEE[[#This Row],[First_Name]]," "," ",EMPLOYEE[[#This Row],[Last_Name]])</f>
        <v>Ashley  Williams</v>
      </c>
      <c r="K26" s="13">
        <f ca="1">DATEDIF(EMPLOYEE[[#This Row],[Hire Date]],TODAY(),"Y")</f>
        <v>4</v>
      </c>
      <c r="L26" t="str">
        <f>IF(EMPLOYEE[[#This Row],[Perf_Score]]&gt;=95,"Outstanding",IF(EMPLOYEE[[#This Row],[Perf_Score]]&gt;=85,"Exceeding",IF(EMPLOYEE[[#This Row],[Perf_Score]]&gt;=70,"Achieving",IF(EMPLOYEE[[#This Row],[Perf_Score]]&gt;=50,"Developing",IF(EMPLOYEE[[#This Row],[Perf_Score]]&gt;=0,"Needs Improvement","NA")))))</f>
        <v>Needs Improvement</v>
      </c>
      <c r="M26" s="18">
        <f>IF(EMPLOYEE[[#This Row],[Perf_Score]]&gt;=95,0.12,IF(EMPLOYEE[[#This Row],[Perf_Score]]&gt;=85,0.08,IF(EMPLOYEE[[#This Row],[Perf_Score]]&gt;=70,0.05,IF(EMPLOYEE[[#This Row],[Perf_Score]]&gt;=50,0.02,IF(EMPLOYEE[[#This Row],[Perf_Score]]&gt;=0,0,"NA")))))</f>
        <v>0</v>
      </c>
    </row>
    <row r="27" spans="1:13" x14ac:dyDescent="0.25">
      <c r="A27" t="s">
        <v>62</v>
      </c>
      <c r="B27" t="s">
        <v>53</v>
      </c>
      <c r="C27" t="s">
        <v>42</v>
      </c>
      <c r="D27" s="2" t="s">
        <v>35</v>
      </c>
      <c r="E27" s="3">
        <v>45134</v>
      </c>
      <c r="F27" s="4">
        <v>81205</v>
      </c>
      <c r="G27">
        <v>59</v>
      </c>
      <c r="H27" t="s">
        <v>36</v>
      </c>
      <c r="I27" t="str">
        <f>VLOOKUP(EMPLOYEE[[#This Row],[Dept Code]],Lookup_Departments!$A$1:$B$7,2,FALSE)</f>
        <v>Sales</v>
      </c>
      <c r="J27" t="str">
        <f>CONCATENATE(EMPLOYEE[[#This Row],[First_Name]]," "," ",EMPLOYEE[[#This Row],[Last_Name]])</f>
        <v>Ashley  Williams</v>
      </c>
      <c r="K27" s="13">
        <f ca="1">DATEDIF(EMPLOYEE[[#This Row],[Hire Date]],TODAY(),"Y")</f>
        <v>2</v>
      </c>
      <c r="L27" t="str">
        <f>IF(EMPLOYEE[[#This Row],[Perf_Score]]&gt;=95,"Outstanding",IF(EMPLOYEE[[#This Row],[Perf_Score]]&gt;=85,"Exceeding",IF(EMPLOYEE[[#This Row],[Perf_Score]]&gt;=70,"Achieving",IF(EMPLOYEE[[#This Row],[Perf_Score]]&gt;=50,"Developing",IF(EMPLOYEE[[#This Row],[Perf_Score]]&gt;=0,"Needs Improvement","NA")))))</f>
        <v>Developing</v>
      </c>
      <c r="M27" s="18">
        <f>IF(EMPLOYEE[[#This Row],[Perf_Score]]&gt;=95,0.12,IF(EMPLOYEE[[#This Row],[Perf_Score]]&gt;=85,0.08,IF(EMPLOYEE[[#This Row],[Perf_Score]]&gt;=70,0.05,IF(EMPLOYEE[[#This Row],[Perf_Score]]&gt;=50,0.02,IF(EMPLOYEE[[#This Row],[Perf_Score]]&gt;=0,0,"NA")))))</f>
        <v>0.02</v>
      </c>
    </row>
    <row r="28" spans="1:13" x14ac:dyDescent="0.25">
      <c r="A28" t="s">
        <v>63</v>
      </c>
      <c r="B28" t="s">
        <v>17</v>
      </c>
      <c r="C28" t="s">
        <v>28</v>
      </c>
      <c r="D28" s="2" t="s">
        <v>35</v>
      </c>
      <c r="E28" s="3">
        <v>43732</v>
      </c>
      <c r="F28" s="4">
        <v>77610</v>
      </c>
      <c r="G28">
        <v>88</v>
      </c>
      <c r="H28" t="s">
        <v>36</v>
      </c>
      <c r="I28" t="str">
        <f>VLOOKUP(EMPLOYEE[[#This Row],[Dept Code]],Lookup_Departments!$A$1:$B$7,2,FALSE)</f>
        <v>Sales</v>
      </c>
      <c r="J28" t="str">
        <f>CONCATENATE(EMPLOYEE[[#This Row],[First_Name]]," "," ",EMPLOYEE[[#This Row],[Last_Name]])</f>
        <v>John  Wilson</v>
      </c>
      <c r="K28" s="13">
        <f ca="1">DATEDIF(EMPLOYEE[[#This Row],[Hire Date]],TODAY(),"Y")</f>
        <v>6</v>
      </c>
      <c r="L28" t="str">
        <f>IF(EMPLOYEE[[#This Row],[Perf_Score]]&gt;=95,"Outstanding",IF(EMPLOYEE[[#This Row],[Perf_Score]]&gt;=85,"Exceeding",IF(EMPLOYEE[[#This Row],[Perf_Score]]&gt;=70,"Achieving",IF(EMPLOYEE[[#This Row],[Perf_Score]]&gt;=50,"Developing",IF(EMPLOYEE[[#This Row],[Perf_Score]]&gt;=0,"Needs Improvement","NA")))))</f>
        <v>Exceeding</v>
      </c>
      <c r="M28" s="18">
        <f>IF(EMPLOYEE[[#This Row],[Perf_Score]]&gt;=95,0.12,IF(EMPLOYEE[[#This Row],[Perf_Score]]&gt;=85,0.08,IF(EMPLOYEE[[#This Row],[Perf_Score]]&gt;=70,0.05,IF(EMPLOYEE[[#This Row],[Perf_Score]]&gt;=50,0.02,IF(EMPLOYEE[[#This Row],[Perf_Score]]&gt;=0,0,"NA")))))</f>
        <v>0.08</v>
      </c>
    </row>
    <row r="29" spans="1:13" x14ac:dyDescent="0.25">
      <c r="A29" t="s">
        <v>64</v>
      </c>
      <c r="B29" t="s">
        <v>21</v>
      </c>
      <c r="C29" t="s">
        <v>32</v>
      </c>
      <c r="D29" s="2" t="s">
        <v>9</v>
      </c>
      <c r="E29" s="3">
        <v>44765</v>
      </c>
      <c r="F29" s="4">
        <v>50873</v>
      </c>
      <c r="G29">
        <v>90</v>
      </c>
      <c r="H29" t="s">
        <v>36</v>
      </c>
      <c r="I29" t="str">
        <f>VLOOKUP(EMPLOYEE[[#This Row],[Dept Code]],Lookup_Departments!$A$1:$B$7,2,FALSE)</f>
        <v>Information Technology</v>
      </c>
      <c r="J29" t="str">
        <f>CONCATENATE(EMPLOYEE[[#This Row],[First_Name]]," "," ",EMPLOYEE[[#This Row],[Last_Name]])</f>
        <v>Thomas  Rodriguez</v>
      </c>
      <c r="K29" s="13">
        <f ca="1">DATEDIF(EMPLOYEE[[#This Row],[Hire Date]],TODAY(),"Y")</f>
        <v>3</v>
      </c>
      <c r="L29" t="str">
        <f>IF(EMPLOYEE[[#This Row],[Perf_Score]]&gt;=95,"Outstanding",IF(EMPLOYEE[[#This Row],[Perf_Score]]&gt;=85,"Exceeding",IF(EMPLOYEE[[#This Row],[Perf_Score]]&gt;=70,"Achieving",IF(EMPLOYEE[[#This Row],[Perf_Score]]&gt;=50,"Developing",IF(EMPLOYEE[[#This Row],[Perf_Score]]&gt;=0,"Needs Improvement","NA")))))</f>
        <v>Exceeding</v>
      </c>
      <c r="M29" s="18">
        <f>IF(EMPLOYEE[[#This Row],[Perf_Score]]&gt;=95,0.12,IF(EMPLOYEE[[#This Row],[Perf_Score]]&gt;=85,0.08,IF(EMPLOYEE[[#This Row],[Perf_Score]]&gt;=70,0.05,IF(EMPLOYEE[[#This Row],[Perf_Score]]&gt;=50,0.02,IF(EMPLOYEE[[#This Row],[Perf_Score]]&gt;=0,0,"NA")))))</f>
        <v>0.08</v>
      </c>
    </row>
    <row r="30" spans="1:13" x14ac:dyDescent="0.25">
      <c r="A30" t="s">
        <v>65</v>
      </c>
      <c r="B30" t="s">
        <v>34</v>
      </c>
      <c r="C30" t="s">
        <v>28</v>
      </c>
      <c r="D30" s="2" t="s">
        <v>19</v>
      </c>
      <c r="E30" s="3">
        <v>43233</v>
      </c>
      <c r="F30" s="4">
        <v>85312</v>
      </c>
      <c r="G30">
        <v>66</v>
      </c>
      <c r="H30" t="s">
        <v>36</v>
      </c>
      <c r="I30" t="str">
        <f>VLOOKUP(EMPLOYEE[[#This Row],[Dept Code]],Lookup_Departments!$A$1:$B$7,2,FALSE)</f>
        <v>Finance</v>
      </c>
      <c r="J30" t="str">
        <f>CONCATENATE(EMPLOYEE[[#This Row],[First_Name]]," "," ",EMPLOYEE[[#This Row],[Last_Name]])</f>
        <v>Michael  Wilson</v>
      </c>
      <c r="K30" s="13">
        <f ca="1">DATEDIF(EMPLOYEE[[#This Row],[Hire Date]],TODAY(),"Y")</f>
        <v>8</v>
      </c>
      <c r="L30" t="str">
        <f>IF(EMPLOYEE[[#This Row],[Perf_Score]]&gt;=95,"Outstanding",IF(EMPLOYEE[[#This Row],[Perf_Score]]&gt;=85,"Exceeding",IF(EMPLOYEE[[#This Row],[Perf_Score]]&gt;=70,"Achieving",IF(EMPLOYEE[[#This Row],[Perf_Score]]&gt;=50,"Developing",IF(EMPLOYEE[[#This Row],[Perf_Score]]&gt;=0,"Needs Improvement","NA")))))</f>
        <v>Developing</v>
      </c>
      <c r="M30" s="18">
        <f>IF(EMPLOYEE[[#This Row],[Perf_Score]]&gt;=95,0.12,IF(EMPLOYEE[[#This Row],[Perf_Score]]&gt;=85,0.08,IF(EMPLOYEE[[#This Row],[Perf_Score]]&gt;=70,0.05,IF(EMPLOYEE[[#This Row],[Perf_Score]]&gt;=50,0.02,IF(EMPLOYEE[[#This Row],[Perf_Score]]&gt;=0,0,"NA")))))</f>
        <v>0.02</v>
      </c>
    </row>
    <row r="31" spans="1:13" x14ac:dyDescent="0.25">
      <c r="A31" t="s">
        <v>66</v>
      </c>
      <c r="B31" t="s">
        <v>17</v>
      </c>
      <c r="C31" t="s">
        <v>32</v>
      </c>
      <c r="D31" s="2" t="s">
        <v>35</v>
      </c>
      <c r="E31" s="3">
        <v>42202</v>
      </c>
      <c r="F31" s="4">
        <v>83135</v>
      </c>
      <c r="G31">
        <v>68</v>
      </c>
      <c r="H31" t="s">
        <v>36</v>
      </c>
      <c r="I31" t="str">
        <f>VLOOKUP(EMPLOYEE[[#This Row],[Dept Code]],Lookup_Departments!$A$1:$B$7,2,FALSE)</f>
        <v>Sales</v>
      </c>
      <c r="J31" t="str">
        <f>CONCATENATE(EMPLOYEE[[#This Row],[First_Name]]," "," ",EMPLOYEE[[#This Row],[Last_Name]])</f>
        <v>John  Rodriguez</v>
      </c>
      <c r="K31" s="13">
        <f ca="1">DATEDIF(EMPLOYEE[[#This Row],[Hire Date]],TODAY(),"Y")</f>
        <v>11</v>
      </c>
      <c r="L31" t="str">
        <f>IF(EMPLOYEE[[#This Row],[Perf_Score]]&gt;=95,"Outstanding",IF(EMPLOYEE[[#This Row],[Perf_Score]]&gt;=85,"Exceeding",IF(EMPLOYEE[[#This Row],[Perf_Score]]&gt;=70,"Achieving",IF(EMPLOYEE[[#This Row],[Perf_Score]]&gt;=50,"Developing",IF(EMPLOYEE[[#This Row],[Perf_Score]]&gt;=0,"Needs Improvement","NA")))))</f>
        <v>Developing</v>
      </c>
      <c r="M31" s="18">
        <f>IF(EMPLOYEE[[#This Row],[Perf_Score]]&gt;=95,0.12,IF(EMPLOYEE[[#This Row],[Perf_Score]]&gt;=85,0.08,IF(EMPLOYEE[[#This Row],[Perf_Score]]&gt;=70,0.05,IF(EMPLOYEE[[#This Row],[Perf_Score]]&gt;=50,0.02,IF(EMPLOYEE[[#This Row],[Perf_Score]]&gt;=0,0,"NA")))))</f>
        <v>0.02</v>
      </c>
    </row>
    <row r="32" spans="1:13" x14ac:dyDescent="0.25">
      <c r="A32" t="s">
        <v>67</v>
      </c>
      <c r="B32" t="s">
        <v>21</v>
      </c>
      <c r="C32" t="s">
        <v>12</v>
      </c>
      <c r="D32" s="2" t="s">
        <v>26</v>
      </c>
      <c r="E32" s="3">
        <v>42221</v>
      </c>
      <c r="F32" s="4">
        <v>97055</v>
      </c>
      <c r="G32">
        <v>80</v>
      </c>
      <c r="H32" t="s">
        <v>36</v>
      </c>
      <c r="I32" t="str">
        <f>VLOOKUP(EMPLOYEE[[#This Row],[Dept Code]],Lookup_Departments!$A$1:$B$7,2,FALSE)</f>
        <v>Operations</v>
      </c>
      <c r="J32" t="str">
        <f>CONCATENATE(EMPLOYEE[[#This Row],[First_Name]]," "," ",EMPLOYEE[[#This Row],[Last_Name]])</f>
        <v>Thomas  Hernandez</v>
      </c>
      <c r="K32" s="13">
        <f ca="1">DATEDIF(EMPLOYEE[[#This Row],[Hire Date]],TODAY(),"Y")</f>
        <v>10</v>
      </c>
      <c r="L32" t="str">
        <f>IF(EMPLOYEE[[#This Row],[Perf_Score]]&gt;=95,"Outstanding",IF(EMPLOYEE[[#This Row],[Perf_Score]]&gt;=85,"Exceeding",IF(EMPLOYEE[[#This Row],[Perf_Score]]&gt;=70,"Achieving",IF(EMPLOYEE[[#This Row],[Perf_Score]]&gt;=50,"Developing",IF(EMPLOYEE[[#This Row],[Perf_Score]]&gt;=0,"Needs Improvement","NA")))))</f>
        <v>Achieving</v>
      </c>
      <c r="M32" s="18">
        <f>IF(EMPLOYEE[[#This Row],[Perf_Score]]&gt;=95,0.12,IF(EMPLOYEE[[#This Row],[Perf_Score]]&gt;=85,0.08,IF(EMPLOYEE[[#This Row],[Perf_Score]]&gt;=70,0.05,IF(EMPLOYEE[[#This Row],[Perf_Score]]&gt;=50,0.02,IF(EMPLOYEE[[#This Row],[Perf_Score]]&gt;=0,0,"NA")))))</f>
        <v>0.05</v>
      </c>
    </row>
    <row r="33" spans="1:13" x14ac:dyDescent="0.25">
      <c r="A33" t="s">
        <v>68</v>
      </c>
      <c r="B33" t="s">
        <v>34</v>
      </c>
      <c r="C33" t="s">
        <v>25</v>
      </c>
      <c r="D33" s="2" t="s">
        <v>9</v>
      </c>
      <c r="E33" s="3">
        <v>45195</v>
      </c>
      <c r="F33" s="4">
        <v>66069</v>
      </c>
      <c r="G33">
        <v>72</v>
      </c>
      <c r="H33" t="s">
        <v>36</v>
      </c>
      <c r="I33" t="str">
        <f>VLOOKUP(EMPLOYEE[[#This Row],[Dept Code]],Lookup_Departments!$A$1:$B$7,2,FALSE)</f>
        <v>Information Technology</v>
      </c>
      <c r="J33" t="str">
        <f>CONCATENATE(EMPLOYEE[[#This Row],[First_Name]]," "," ",EMPLOYEE[[#This Row],[Last_Name]])</f>
        <v>Michael  Johnson</v>
      </c>
      <c r="K33" s="13">
        <f ca="1">DATEDIF(EMPLOYEE[[#This Row],[Hire Date]],TODAY(),"Y")</f>
        <v>2</v>
      </c>
      <c r="L33" t="str">
        <f>IF(EMPLOYEE[[#This Row],[Perf_Score]]&gt;=95,"Outstanding",IF(EMPLOYEE[[#This Row],[Perf_Score]]&gt;=85,"Exceeding",IF(EMPLOYEE[[#This Row],[Perf_Score]]&gt;=70,"Achieving",IF(EMPLOYEE[[#This Row],[Perf_Score]]&gt;=50,"Developing",IF(EMPLOYEE[[#This Row],[Perf_Score]]&gt;=0,"Needs Improvement","NA")))))</f>
        <v>Achieving</v>
      </c>
      <c r="M33" s="18">
        <f>IF(EMPLOYEE[[#This Row],[Perf_Score]]&gt;=95,0.12,IF(EMPLOYEE[[#This Row],[Perf_Score]]&gt;=85,0.08,IF(EMPLOYEE[[#This Row],[Perf_Score]]&gt;=70,0.05,IF(EMPLOYEE[[#This Row],[Perf_Score]]&gt;=50,0.02,IF(EMPLOYEE[[#This Row],[Perf_Score]]&gt;=0,0,"NA")))))</f>
        <v>0.05</v>
      </c>
    </row>
    <row r="34" spans="1:13" x14ac:dyDescent="0.25">
      <c r="A34" t="s">
        <v>69</v>
      </c>
      <c r="B34" t="s">
        <v>70</v>
      </c>
      <c r="C34" t="s">
        <v>8</v>
      </c>
      <c r="D34" s="2" t="s">
        <v>9</v>
      </c>
      <c r="E34" s="3">
        <v>43626</v>
      </c>
      <c r="F34" s="4">
        <v>90157</v>
      </c>
      <c r="G34">
        <v>58</v>
      </c>
      <c r="H34" t="s">
        <v>36</v>
      </c>
      <c r="I34" t="str">
        <f>VLOOKUP(EMPLOYEE[[#This Row],[Dept Code]],Lookup_Departments!$A$1:$B$7,2,FALSE)</f>
        <v>Information Technology</v>
      </c>
      <c r="J34" t="str">
        <f>CONCATENATE(EMPLOYEE[[#This Row],[First_Name]]," "," ",EMPLOYEE[[#This Row],[Last_Name]])</f>
        <v>Sarah  Brown</v>
      </c>
      <c r="K34" s="13">
        <f ca="1">DATEDIF(EMPLOYEE[[#This Row],[Hire Date]],TODAY(),"Y")</f>
        <v>7</v>
      </c>
      <c r="L34" t="str">
        <f>IF(EMPLOYEE[[#This Row],[Perf_Score]]&gt;=95,"Outstanding",IF(EMPLOYEE[[#This Row],[Perf_Score]]&gt;=85,"Exceeding",IF(EMPLOYEE[[#This Row],[Perf_Score]]&gt;=70,"Achieving",IF(EMPLOYEE[[#This Row],[Perf_Score]]&gt;=50,"Developing",IF(EMPLOYEE[[#This Row],[Perf_Score]]&gt;=0,"Needs Improvement","NA")))))</f>
        <v>Developing</v>
      </c>
      <c r="M34" s="18">
        <f>IF(EMPLOYEE[[#This Row],[Perf_Score]]&gt;=95,0.12,IF(EMPLOYEE[[#This Row],[Perf_Score]]&gt;=85,0.08,IF(EMPLOYEE[[#This Row],[Perf_Score]]&gt;=70,0.05,IF(EMPLOYEE[[#This Row],[Perf_Score]]&gt;=50,0.02,IF(EMPLOYEE[[#This Row],[Perf_Score]]&gt;=0,0,"NA")))))</f>
        <v>0.02</v>
      </c>
    </row>
    <row r="35" spans="1:13" x14ac:dyDescent="0.25">
      <c r="A35" t="s">
        <v>71</v>
      </c>
      <c r="B35" t="s">
        <v>41</v>
      </c>
      <c r="C35" t="s">
        <v>18</v>
      </c>
      <c r="D35" s="2" t="s">
        <v>72</v>
      </c>
      <c r="E35" s="3">
        <v>44578</v>
      </c>
      <c r="F35" s="4">
        <v>59899</v>
      </c>
      <c r="G35">
        <v>78</v>
      </c>
      <c r="H35" t="s">
        <v>36</v>
      </c>
      <c r="I35" t="str">
        <f>VLOOKUP(EMPLOYEE[[#This Row],[Dept Code]],Lookup_Departments!$A$1:$B$7,2,FALSE)</f>
        <v>Human Resources</v>
      </c>
      <c r="J35" t="str">
        <f>CONCATENATE(EMPLOYEE[[#This Row],[First_Name]]," "," ",EMPLOYEE[[#This Row],[Last_Name]])</f>
        <v>Jane  Martinez</v>
      </c>
      <c r="K35" s="13">
        <f ca="1">DATEDIF(EMPLOYEE[[#This Row],[Hire Date]],TODAY(),"Y")</f>
        <v>4</v>
      </c>
      <c r="L35" t="str">
        <f>IF(EMPLOYEE[[#This Row],[Perf_Score]]&gt;=95,"Outstanding",IF(EMPLOYEE[[#This Row],[Perf_Score]]&gt;=85,"Exceeding",IF(EMPLOYEE[[#This Row],[Perf_Score]]&gt;=70,"Achieving",IF(EMPLOYEE[[#This Row],[Perf_Score]]&gt;=50,"Developing",IF(EMPLOYEE[[#This Row],[Perf_Score]]&gt;=0,"Needs Improvement","NA")))))</f>
        <v>Achieving</v>
      </c>
      <c r="M35" s="18">
        <f>IF(EMPLOYEE[[#This Row],[Perf_Score]]&gt;=95,0.12,IF(EMPLOYEE[[#This Row],[Perf_Score]]&gt;=85,0.08,IF(EMPLOYEE[[#This Row],[Perf_Score]]&gt;=70,0.05,IF(EMPLOYEE[[#This Row],[Perf_Score]]&gt;=50,0.02,IF(EMPLOYEE[[#This Row],[Perf_Score]]&gt;=0,0,"NA")))))</f>
        <v>0.05</v>
      </c>
    </row>
    <row r="36" spans="1:13" x14ac:dyDescent="0.25">
      <c r="A36" t="s">
        <v>73</v>
      </c>
      <c r="B36" t="s">
        <v>7</v>
      </c>
      <c r="C36" t="s">
        <v>46</v>
      </c>
      <c r="D36" s="2" t="s">
        <v>19</v>
      </c>
      <c r="E36" s="3">
        <v>42919</v>
      </c>
      <c r="F36" s="4">
        <v>113389</v>
      </c>
      <c r="G36">
        <v>30</v>
      </c>
      <c r="H36" t="s">
        <v>36</v>
      </c>
      <c r="I36" t="str">
        <f>VLOOKUP(EMPLOYEE[[#This Row],[Dept Code]],Lookup_Departments!$A$1:$B$7,2,FALSE)</f>
        <v>Finance</v>
      </c>
      <c r="J36" t="str">
        <f>CONCATENATE(EMPLOYEE[[#This Row],[First_Name]]," "," ",EMPLOYEE[[#This Row],[Last_Name]])</f>
        <v>Emily  Jones</v>
      </c>
      <c r="K36" s="13">
        <f ca="1">DATEDIF(EMPLOYEE[[#This Row],[Hire Date]],TODAY(),"Y")</f>
        <v>9</v>
      </c>
      <c r="L36" t="str">
        <f>IF(EMPLOYEE[[#This Row],[Perf_Score]]&gt;=95,"Outstanding",IF(EMPLOYEE[[#This Row],[Perf_Score]]&gt;=85,"Exceeding",IF(EMPLOYEE[[#This Row],[Perf_Score]]&gt;=70,"Achieving",IF(EMPLOYEE[[#This Row],[Perf_Score]]&gt;=50,"Developing",IF(EMPLOYEE[[#This Row],[Perf_Score]]&gt;=0,"Needs Improvement","NA")))))</f>
        <v>Needs Improvement</v>
      </c>
      <c r="M36" s="18">
        <f>IF(EMPLOYEE[[#This Row],[Perf_Score]]&gt;=95,0.12,IF(EMPLOYEE[[#This Row],[Perf_Score]]&gt;=85,0.08,IF(EMPLOYEE[[#This Row],[Perf_Score]]&gt;=70,0.05,IF(EMPLOYEE[[#This Row],[Perf_Score]]&gt;=50,0.02,IF(EMPLOYEE[[#This Row],[Perf_Score]]&gt;=0,0,"NA")))))</f>
        <v>0</v>
      </c>
    </row>
    <row r="37" spans="1:13" x14ac:dyDescent="0.25">
      <c r="A37" t="s">
        <v>74</v>
      </c>
      <c r="B37" t="s">
        <v>7</v>
      </c>
      <c r="C37" t="s">
        <v>8</v>
      </c>
      <c r="D37" s="2" t="s">
        <v>9</v>
      </c>
      <c r="E37" s="3">
        <v>42248</v>
      </c>
      <c r="F37" s="4">
        <v>102691</v>
      </c>
      <c r="G37">
        <v>52</v>
      </c>
      <c r="H37" t="s">
        <v>36</v>
      </c>
      <c r="I37" t="str">
        <f>VLOOKUP(EMPLOYEE[[#This Row],[Dept Code]],Lookup_Departments!$A$1:$B$7,2,FALSE)</f>
        <v>Information Technology</v>
      </c>
      <c r="J37" t="str">
        <f>CONCATENATE(EMPLOYEE[[#This Row],[First_Name]]," "," ",EMPLOYEE[[#This Row],[Last_Name]])</f>
        <v>Emily  Brown</v>
      </c>
      <c r="K37" s="13">
        <f ca="1">DATEDIF(EMPLOYEE[[#This Row],[Hire Date]],TODAY(),"Y")</f>
        <v>10</v>
      </c>
      <c r="L37" t="str">
        <f>IF(EMPLOYEE[[#This Row],[Perf_Score]]&gt;=95,"Outstanding",IF(EMPLOYEE[[#This Row],[Perf_Score]]&gt;=85,"Exceeding",IF(EMPLOYEE[[#This Row],[Perf_Score]]&gt;=70,"Achieving",IF(EMPLOYEE[[#This Row],[Perf_Score]]&gt;=50,"Developing",IF(EMPLOYEE[[#This Row],[Perf_Score]]&gt;=0,"Needs Improvement","NA")))))</f>
        <v>Developing</v>
      </c>
      <c r="M37" s="18">
        <f>IF(EMPLOYEE[[#This Row],[Perf_Score]]&gt;=95,0.12,IF(EMPLOYEE[[#This Row],[Perf_Score]]&gt;=85,0.08,IF(EMPLOYEE[[#This Row],[Perf_Score]]&gt;=70,0.05,IF(EMPLOYEE[[#This Row],[Perf_Score]]&gt;=50,0.02,IF(EMPLOYEE[[#This Row],[Perf_Score]]&gt;=0,0,"NA")))))</f>
        <v>0.02</v>
      </c>
    </row>
    <row r="38" spans="1:13" x14ac:dyDescent="0.25">
      <c r="A38" t="s">
        <v>75</v>
      </c>
      <c r="B38" t="s">
        <v>17</v>
      </c>
      <c r="C38" t="s">
        <v>28</v>
      </c>
      <c r="D38" s="2" t="s">
        <v>26</v>
      </c>
      <c r="E38" s="3">
        <v>44776</v>
      </c>
      <c r="F38" s="4">
        <v>111845</v>
      </c>
      <c r="G38">
        <v>98</v>
      </c>
      <c r="H38" t="s">
        <v>36</v>
      </c>
      <c r="I38" t="str">
        <f>VLOOKUP(EMPLOYEE[[#This Row],[Dept Code]],Lookup_Departments!$A$1:$B$7,2,FALSE)</f>
        <v>Operations</v>
      </c>
      <c r="J38" t="str">
        <f>CONCATENATE(EMPLOYEE[[#This Row],[First_Name]]," "," ",EMPLOYEE[[#This Row],[Last_Name]])</f>
        <v>John  Wilson</v>
      </c>
      <c r="K38" s="13">
        <f ca="1">DATEDIF(EMPLOYEE[[#This Row],[Hire Date]],TODAY(),"Y")</f>
        <v>3</v>
      </c>
      <c r="L38" t="str">
        <f>IF(EMPLOYEE[[#This Row],[Perf_Score]]&gt;=95,"Outstanding",IF(EMPLOYEE[[#This Row],[Perf_Score]]&gt;=85,"Exceeding",IF(EMPLOYEE[[#This Row],[Perf_Score]]&gt;=70,"Achieving",IF(EMPLOYEE[[#This Row],[Perf_Score]]&gt;=50,"Developing",IF(EMPLOYEE[[#This Row],[Perf_Score]]&gt;=0,"Needs Improvement","NA")))))</f>
        <v>Outstanding</v>
      </c>
      <c r="M38" s="18">
        <f>IF(EMPLOYEE[[#This Row],[Perf_Score]]&gt;=95,0.12,IF(EMPLOYEE[[#This Row],[Perf_Score]]&gt;=85,0.08,IF(EMPLOYEE[[#This Row],[Perf_Score]]&gt;=70,0.05,IF(EMPLOYEE[[#This Row],[Perf_Score]]&gt;=50,0.02,IF(EMPLOYEE[[#This Row],[Perf_Score]]&gt;=0,0,"NA")))))</f>
        <v>0.12</v>
      </c>
    </row>
    <row r="39" spans="1:13" x14ac:dyDescent="0.25">
      <c r="A39" t="s">
        <v>76</v>
      </c>
      <c r="B39" t="s">
        <v>77</v>
      </c>
      <c r="C39" t="s">
        <v>8</v>
      </c>
      <c r="D39" s="2" t="s">
        <v>35</v>
      </c>
      <c r="E39" s="3">
        <v>44741</v>
      </c>
      <c r="F39" s="4">
        <v>69219</v>
      </c>
      <c r="G39">
        <v>93</v>
      </c>
      <c r="H39" t="s">
        <v>36</v>
      </c>
      <c r="I39" t="str">
        <f>VLOOKUP(EMPLOYEE[[#This Row],[Dept Code]],Lookup_Departments!$A$1:$B$7,2,FALSE)</f>
        <v>Sales</v>
      </c>
      <c r="J39" t="str">
        <f>CONCATENATE(EMPLOYEE[[#This Row],[First_Name]]," "," ",EMPLOYEE[[#This Row],[Last_Name]])</f>
        <v>Melissa  Brown</v>
      </c>
      <c r="K39" s="13">
        <f ca="1">DATEDIF(EMPLOYEE[[#This Row],[Hire Date]],TODAY(),"Y")</f>
        <v>4</v>
      </c>
      <c r="L39" t="str">
        <f>IF(EMPLOYEE[[#This Row],[Perf_Score]]&gt;=95,"Outstanding",IF(EMPLOYEE[[#This Row],[Perf_Score]]&gt;=85,"Exceeding",IF(EMPLOYEE[[#This Row],[Perf_Score]]&gt;=70,"Achieving",IF(EMPLOYEE[[#This Row],[Perf_Score]]&gt;=50,"Developing",IF(EMPLOYEE[[#This Row],[Perf_Score]]&gt;=0,"Needs Improvement","NA")))))</f>
        <v>Exceeding</v>
      </c>
      <c r="M39" s="18">
        <f>IF(EMPLOYEE[[#This Row],[Perf_Score]]&gt;=95,0.12,IF(EMPLOYEE[[#This Row],[Perf_Score]]&gt;=85,0.08,IF(EMPLOYEE[[#This Row],[Perf_Score]]&gt;=70,0.05,IF(EMPLOYEE[[#This Row],[Perf_Score]]&gt;=50,0.02,IF(EMPLOYEE[[#This Row],[Perf_Score]]&gt;=0,0,"NA")))))</f>
        <v>0.08</v>
      </c>
    </row>
    <row r="40" spans="1:13" x14ac:dyDescent="0.25">
      <c r="A40" t="s">
        <v>78</v>
      </c>
      <c r="B40" t="s">
        <v>34</v>
      </c>
      <c r="C40" t="s">
        <v>22</v>
      </c>
      <c r="D40" s="2" t="s">
        <v>19</v>
      </c>
      <c r="E40" s="3">
        <v>43949</v>
      </c>
      <c r="F40" s="4">
        <v>83500</v>
      </c>
      <c r="G40">
        <v>80</v>
      </c>
      <c r="H40" t="s">
        <v>23</v>
      </c>
      <c r="I40" t="str">
        <f>VLOOKUP(EMPLOYEE[[#This Row],[Dept Code]],Lookup_Departments!$A$1:$B$7,2,FALSE)</f>
        <v>Finance</v>
      </c>
      <c r="J40" t="str">
        <f>CONCATENATE(EMPLOYEE[[#This Row],[First_Name]]," "," ",EMPLOYEE[[#This Row],[Last_Name]])</f>
        <v>Michael  Smith</v>
      </c>
      <c r="K40" s="13">
        <f ca="1">DATEDIF(EMPLOYEE[[#This Row],[Hire Date]],TODAY(),"Y")</f>
        <v>6</v>
      </c>
      <c r="L40" t="str">
        <f>IF(EMPLOYEE[[#This Row],[Perf_Score]]&gt;=95,"Outstanding",IF(EMPLOYEE[[#This Row],[Perf_Score]]&gt;=85,"Exceeding",IF(EMPLOYEE[[#This Row],[Perf_Score]]&gt;=70,"Achieving",IF(EMPLOYEE[[#This Row],[Perf_Score]]&gt;=50,"Developing",IF(EMPLOYEE[[#This Row],[Perf_Score]]&gt;=0,"Needs Improvement","NA")))))</f>
        <v>Achieving</v>
      </c>
      <c r="M40" s="18">
        <f>IF(EMPLOYEE[[#This Row],[Perf_Score]]&gt;=95,0.12,IF(EMPLOYEE[[#This Row],[Perf_Score]]&gt;=85,0.08,IF(EMPLOYEE[[#This Row],[Perf_Score]]&gt;=70,0.05,IF(EMPLOYEE[[#This Row],[Perf_Score]]&gt;=50,0.02,IF(EMPLOYEE[[#This Row],[Perf_Score]]&gt;=0,0,"NA")))))</f>
        <v>0.05</v>
      </c>
    </row>
    <row r="41" spans="1:13" x14ac:dyDescent="0.25">
      <c r="A41" t="s">
        <v>79</v>
      </c>
      <c r="B41" t="s">
        <v>70</v>
      </c>
      <c r="C41" t="s">
        <v>38</v>
      </c>
      <c r="D41" s="2" t="s">
        <v>26</v>
      </c>
      <c r="E41" s="3">
        <v>42987</v>
      </c>
      <c r="F41" s="4">
        <v>57514</v>
      </c>
      <c r="G41">
        <v>68</v>
      </c>
      <c r="H41" t="s">
        <v>36</v>
      </c>
      <c r="I41" t="str">
        <f>VLOOKUP(EMPLOYEE[[#This Row],[Dept Code]],Lookup_Departments!$A$1:$B$7,2,FALSE)</f>
        <v>Operations</v>
      </c>
      <c r="J41" t="str">
        <f>CONCATENATE(EMPLOYEE[[#This Row],[First_Name]]," "," ",EMPLOYEE[[#This Row],[Last_Name]])</f>
        <v>Sarah  Miller</v>
      </c>
      <c r="K41" s="13">
        <f ca="1">DATEDIF(EMPLOYEE[[#This Row],[Hire Date]],TODAY(),"Y")</f>
        <v>8</v>
      </c>
      <c r="L41" t="str">
        <f>IF(EMPLOYEE[[#This Row],[Perf_Score]]&gt;=95,"Outstanding",IF(EMPLOYEE[[#This Row],[Perf_Score]]&gt;=85,"Exceeding",IF(EMPLOYEE[[#This Row],[Perf_Score]]&gt;=70,"Achieving",IF(EMPLOYEE[[#This Row],[Perf_Score]]&gt;=50,"Developing",IF(EMPLOYEE[[#This Row],[Perf_Score]]&gt;=0,"Needs Improvement","NA")))))</f>
        <v>Developing</v>
      </c>
      <c r="M41" s="18">
        <f>IF(EMPLOYEE[[#This Row],[Perf_Score]]&gt;=95,0.12,IF(EMPLOYEE[[#This Row],[Perf_Score]]&gt;=85,0.08,IF(EMPLOYEE[[#This Row],[Perf_Score]]&gt;=70,0.05,IF(EMPLOYEE[[#This Row],[Perf_Score]]&gt;=50,0.02,IF(EMPLOYEE[[#This Row],[Perf_Score]]&gt;=0,0,"NA")))))</f>
        <v>0.02</v>
      </c>
    </row>
    <row r="42" spans="1:13" x14ac:dyDescent="0.25">
      <c r="A42" t="s">
        <v>80</v>
      </c>
      <c r="B42" t="s">
        <v>7</v>
      </c>
      <c r="C42" t="s">
        <v>28</v>
      </c>
      <c r="D42" s="2" t="s">
        <v>35</v>
      </c>
      <c r="E42" s="3">
        <v>43181</v>
      </c>
      <c r="F42" s="4">
        <v>86245</v>
      </c>
      <c r="G42">
        <v>71</v>
      </c>
      <c r="H42" t="s">
        <v>23</v>
      </c>
      <c r="I42" t="str">
        <f>VLOOKUP(EMPLOYEE[[#This Row],[Dept Code]],Lookup_Departments!$A$1:$B$7,2,FALSE)</f>
        <v>Sales</v>
      </c>
      <c r="J42" t="str">
        <f>CONCATENATE(EMPLOYEE[[#This Row],[First_Name]]," "," ",EMPLOYEE[[#This Row],[Last_Name]])</f>
        <v>Emily  Wilson</v>
      </c>
      <c r="K42" s="13">
        <f ca="1">DATEDIF(EMPLOYEE[[#This Row],[Hire Date]],TODAY(),"Y")</f>
        <v>8</v>
      </c>
      <c r="L42" t="str">
        <f>IF(EMPLOYEE[[#This Row],[Perf_Score]]&gt;=95,"Outstanding",IF(EMPLOYEE[[#This Row],[Perf_Score]]&gt;=85,"Exceeding",IF(EMPLOYEE[[#This Row],[Perf_Score]]&gt;=70,"Achieving",IF(EMPLOYEE[[#This Row],[Perf_Score]]&gt;=50,"Developing",IF(EMPLOYEE[[#This Row],[Perf_Score]]&gt;=0,"Needs Improvement","NA")))))</f>
        <v>Achieving</v>
      </c>
      <c r="M42" s="18">
        <f>IF(EMPLOYEE[[#This Row],[Perf_Score]]&gt;=95,0.12,IF(EMPLOYEE[[#This Row],[Perf_Score]]&gt;=85,0.08,IF(EMPLOYEE[[#This Row],[Perf_Score]]&gt;=70,0.05,IF(EMPLOYEE[[#This Row],[Perf_Score]]&gt;=50,0.02,IF(EMPLOYEE[[#This Row],[Perf_Score]]&gt;=0,0,"NA")))))</f>
        <v>0.05</v>
      </c>
    </row>
    <row r="43" spans="1:13" x14ac:dyDescent="0.25">
      <c r="A43" t="s">
        <v>81</v>
      </c>
      <c r="B43" t="s">
        <v>82</v>
      </c>
      <c r="C43" t="s">
        <v>12</v>
      </c>
      <c r="D43" s="2" t="s">
        <v>35</v>
      </c>
      <c r="E43" s="3">
        <v>43958</v>
      </c>
      <c r="F43" s="4">
        <v>52407</v>
      </c>
      <c r="G43">
        <v>55</v>
      </c>
      <c r="H43" t="s">
        <v>36</v>
      </c>
      <c r="I43" t="str">
        <f>VLOOKUP(EMPLOYEE[[#This Row],[Dept Code]],Lookup_Departments!$A$1:$B$7,2,FALSE)</f>
        <v>Sales</v>
      </c>
      <c r="J43" t="str">
        <f>CONCATENATE(EMPLOYEE[[#This Row],[First_Name]]," "," ",EMPLOYEE[[#This Row],[Last_Name]])</f>
        <v>David  Hernandez</v>
      </c>
      <c r="K43" s="13">
        <f ca="1">DATEDIF(EMPLOYEE[[#This Row],[Hire Date]],TODAY(),"Y")</f>
        <v>6</v>
      </c>
      <c r="L43" t="str">
        <f>IF(EMPLOYEE[[#This Row],[Perf_Score]]&gt;=95,"Outstanding",IF(EMPLOYEE[[#This Row],[Perf_Score]]&gt;=85,"Exceeding",IF(EMPLOYEE[[#This Row],[Perf_Score]]&gt;=70,"Achieving",IF(EMPLOYEE[[#This Row],[Perf_Score]]&gt;=50,"Developing",IF(EMPLOYEE[[#This Row],[Perf_Score]]&gt;=0,"Needs Improvement","NA")))))</f>
        <v>Developing</v>
      </c>
      <c r="M43" s="18">
        <f>IF(EMPLOYEE[[#This Row],[Perf_Score]]&gt;=95,0.12,IF(EMPLOYEE[[#This Row],[Perf_Score]]&gt;=85,0.08,IF(EMPLOYEE[[#This Row],[Perf_Score]]&gt;=70,0.05,IF(EMPLOYEE[[#This Row],[Perf_Score]]&gt;=50,0.02,IF(EMPLOYEE[[#This Row],[Perf_Score]]&gt;=0,0,"NA")))))</f>
        <v>0.02</v>
      </c>
    </row>
    <row r="44" spans="1:13" x14ac:dyDescent="0.25">
      <c r="A44" t="s">
        <v>83</v>
      </c>
      <c r="B44" t="s">
        <v>51</v>
      </c>
      <c r="C44" t="s">
        <v>22</v>
      </c>
      <c r="D44" s="2" t="s">
        <v>26</v>
      </c>
      <c r="E44" s="3">
        <v>43549</v>
      </c>
      <c r="F44" s="4">
        <v>66606</v>
      </c>
      <c r="G44">
        <v>93</v>
      </c>
      <c r="H44" t="s">
        <v>84</v>
      </c>
      <c r="I44" t="str">
        <f>VLOOKUP(EMPLOYEE[[#This Row],[Dept Code]],Lookup_Departments!$A$1:$B$7,2,FALSE)</f>
        <v>Operations</v>
      </c>
      <c r="J44" t="str">
        <f>CONCATENATE(EMPLOYEE[[#This Row],[First_Name]]," "," ",EMPLOYEE[[#This Row],[Last_Name]])</f>
        <v>James  Smith</v>
      </c>
      <c r="K44" s="13">
        <f ca="1">DATEDIF(EMPLOYEE[[#This Row],[Hire Date]],TODAY(),"Y")</f>
        <v>7</v>
      </c>
      <c r="L44" t="str">
        <f>IF(EMPLOYEE[[#This Row],[Perf_Score]]&gt;=95,"Outstanding",IF(EMPLOYEE[[#This Row],[Perf_Score]]&gt;=85,"Exceeding",IF(EMPLOYEE[[#This Row],[Perf_Score]]&gt;=70,"Achieving",IF(EMPLOYEE[[#This Row],[Perf_Score]]&gt;=50,"Developing",IF(EMPLOYEE[[#This Row],[Perf_Score]]&gt;=0,"Needs Improvement","NA")))))</f>
        <v>Exceeding</v>
      </c>
      <c r="M44" s="18">
        <f>IF(EMPLOYEE[[#This Row],[Perf_Score]]&gt;=95,0.12,IF(EMPLOYEE[[#This Row],[Perf_Score]]&gt;=85,0.08,IF(EMPLOYEE[[#This Row],[Perf_Score]]&gt;=70,0.05,IF(EMPLOYEE[[#This Row],[Perf_Score]]&gt;=50,0.02,IF(EMPLOYEE[[#This Row],[Perf_Score]]&gt;=0,0,"NA")))))</f>
        <v>0.08</v>
      </c>
    </row>
    <row r="45" spans="1:13" x14ac:dyDescent="0.25">
      <c r="A45" t="s">
        <v>85</v>
      </c>
      <c r="B45" t="s">
        <v>70</v>
      </c>
      <c r="C45" t="s">
        <v>42</v>
      </c>
      <c r="D45" s="2" t="s">
        <v>9</v>
      </c>
      <c r="E45" s="3">
        <v>43686</v>
      </c>
      <c r="F45" s="4">
        <v>81896</v>
      </c>
      <c r="G45">
        <v>79</v>
      </c>
      <c r="H45" t="s">
        <v>84</v>
      </c>
      <c r="I45" t="str">
        <f>VLOOKUP(EMPLOYEE[[#This Row],[Dept Code]],Lookup_Departments!$A$1:$B$7,2,FALSE)</f>
        <v>Information Technology</v>
      </c>
      <c r="J45" t="str">
        <f>CONCATENATE(EMPLOYEE[[#This Row],[First_Name]]," "," ",EMPLOYEE[[#This Row],[Last_Name]])</f>
        <v>Sarah  Williams</v>
      </c>
      <c r="K45" s="13">
        <f ca="1">DATEDIF(EMPLOYEE[[#This Row],[Hire Date]],TODAY(),"Y")</f>
        <v>6</v>
      </c>
      <c r="L45" t="str">
        <f>IF(EMPLOYEE[[#This Row],[Perf_Score]]&gt;=95,"Outstanding",IF(EMPLOYEE[[#This Row],[Perf_Score]]&gt;=85,"Exceeding",IF(EMPLOYEE[[#This Row],[Perf_Score]]&gt;=70,"Achieving",IF(EMPLOYEE[[#This Row],[Perf_Score]]&gt;=50,"Developing",IF(EMPLOYEE[[#This Row],[Perf_Score]]&gt;=0,"Needs Improvement","NA")))))</f>
        <v>Achieving</v>
      </c>
      <c r="M45" s="18">
        <f>IF(EMPLOYEE[[#This Row],[Perf_Score]]&gt;=95,0.12,IF(EMPLOYEE[[#This Row],[Perf_Score]]&gt;=85,0.08,IF(EMPLOYEE[[#This Row],[Perf_Score]]&gt;=70,0.05,IF(EMPLOYEE[[#This Row],[Perf_Score]]&gt;=50,0.02,IF(EMPLOYEE[[#This Row],[Perf_Score]]&gt;=0,0,"NA")))))</f>
        <v>0.05</v>
      </c>
    </row>
    <row r="46" spans="1:13" x14ac:dyDescent="0.25">
      <c r="A46" t="s">
        <v>86</v>
      </c>
      <c r="B46" t="s">
        <v>56</v>
      </c>
      <c r="C46" t="s">
        <v>54</v>
      </c>
      <c r="D46" s="2" t="s">
        <v>35</v>
      </c>
      <c r="E46" s="3">
        <v>42565</v>
      </c>
      <c r="F46" s="4">
        <v>78402</v>
      </c>
      <c r="G46">
        <v>54</v>
      </c>
      <c r="H46" t="s">
        <v>36</v>
      </c>
      <c r="I46" t="str">
        <f>VLOOKUP(EMPLOYEE[[#This Row],[Dept Code]],Lookup_Departments!$A$1:$B$7,2,FALSE)</f>
        <v>Sales</v>
      </c>
      <c r="J46" t="str">
        <f>CONCATENATE(EMPLOYEE[[#This Row],[First_Name]]," "," ",EMPLOYEE[[#This Row],[Last_Name]])</f>
        <v>Amanda  Lopez</v>
      </c>
      <c r="K46" s="13">
        <f ca="1">DATEDIF(EMPLOYEE[[#This Row],[Hire Date]],TODAY(),"Y")</f>
        <v>10</v>
      </c>
      <c r="L46" t="str">
        <f>IF(EMPLOYEE[[#This Row],[Perf_Score]]&gt;=95,"Outstanding",IF(EMPLOYEE[[#This Row],[Perf_Score]]&gt;=85,"Exceeding",IF(EMPLOYEE[[#This Row],[Perf_Score]]&gt;=70,"Achieving",IF(EMPLOYEE[[#This Row],[Perf_Score]]&gt;=50,"Developing",IF(EMPLOYEE[[#This Row],[Perf_Score]]&gt;=0,"Needs Improvement","NA")))))</f>
        <v>Developing</v>
      </c>
      <c r="M46" s="18">
        <f>IF(EMPLOYEE[[#This Row],[Perf_Score]]&gt;=95,0.12,IF(EMPLOYEE[[#This Row],[Perf_Score]]&gt;=85,0.08,IF(EMPLOYEE[[#This Row],[Perf_Score]]&gt;=70,0.05,IF(EMPLOYEE[[#This Row],[Perf_Score]]&gt;=50,0.02,IF(EMPLOYEE[[#This Row],[Perf_Score]]&gt;=0,0,"NA")))))</f>
        <v>0.02</v>
      </c>
    </row>
    <row r="47" spans="1:13" x14ac:dyDescent="0.25">
      <c r="A47" t="s">
        <v>87</v>
      </c>
      <c r="B47" t="s">
        <v>21</v>
      </c>
      <c r="C47" t="s">
        <v>54</v>
      </c>
      <c r="D47" s="2" t="s">
        <v>26</v>
      </c>
      <c r="E47" s="3">
        <v>42647</v>
      </c>
      <c r="F47" s="4">
        <v>105498</v>
      </c>
      <c r="G47">
        <v>76</v>
      </c>
      <c r="H47" t="s">
        <v>36</v>
      </c>
      <c r="I47" t="str">
        <f>VLOOKUP(EMPLOYEE[[#This Row],[Dept Code]],Lookup_Departments!$A$1:$B$7,2,FALSE)</f>
        <v>Operations</v>
      </c>
      <c r="J47" t="str">
        <f>CONCATENATE(EMPLOYEE[[#This Row],[First_Name]]," "," ",EMPLOYEE[[#This Row],[Last_Name]])</f>
        <v>Thomas  Lopez</v>
      </c>
      <c r="K47" s="13">
        <f ca="1">DATEDIF(EMPLOYEE[[#This Row],[Hire Date]],TODAY(),"Y")</f>
        <v>9</v>
      </c>
      <c r="L47" t="str">
        <f>IF(EMPLOYEE[[#This Row],[Perf_Score]]&gt;=95,"Outstanding",IF(EMPLOYEE[[#This Row],[Perf_Score]]&gt;=85,"Exceeding",IF(EMPLOYEE[[#This Row],[Perf_Score]]&gt;=70,"Achieving",IF(EMPLOYEE[[#This Row],[Perf_Score]]&gt;=50,"Developing",IF(EMPLOYEE[[#This Row],[Perf_Score]]&gt;=0,"Needs Improvement","NA")))))</f>
        <v>Achieving</v>
      </c>
      <c r="M47" s="18">
        <f>IF(EMPLOYEE[[#This Row],[Perf_Score]]&gt;=95,0.12,IF(EMPLOYEE[[#This Row],[Perf_Score]]&gt;=85,0.08,IF(EMPLOYEE[[#This Row],[Perf_Score]]&gt;=70,0.05,IF(EMPLOYEE[[#This Row],[Perf_Score]]&gt;=50,0.02,IF(EMPLOYEE[[#This Row],[Perf_Score]]&gt;=0,0,"NA")))))</f>
        <v>0.05</v>
      </c>
    </row>
    <row r="48" spans="1:13" x14ac:dyDescent="0.25">
      <c r="A48" t="s">
        <v>88</v>
      </c>
      <c r="B48" t="s">
        <v>77</v>
      </c>
      <c r="C48" t="s">
        <v>25</v>
      </c>
      <c r="D48" s="2" t="s">
        <v>13</v>
      </c>
      <c r="E48" s="3">
        <v>43656</v>
      </c>
      <c r="F48" s="4">
        <v>91749</v>
      </c>
      <c r="G48">
        <v>72</v>
      </c>
      <c r="H48" t="s">
        <v>23</v>
      </c>
      <c r="I48" t="str">
        <f>VLOOKUP(EMPLOYEE[[#This Row],[Dept Code]],Lookup_Departments!$A$1:$B$7,2,FALSE)</f>
        <v>Marketing</v>
      </c>
      <c r="J48" t="str">
        <f>CONCATENATE(EMPLOYEE[[#This Row],[First_Name]]," "," ",EMPLOYEE[[#This Row],[Last_Name]])</f>
        <v>Melissa  Johnson</v>
      </c>
      <c r="K48" s="13">
        <f ca="1">DATEDIF(EMPLOYEE[[#This Row],[Hire Date]],TODAY(),"Y")</f>
        <v>7</v>
      </c>
      <c r="L48" t="str">
        <f>IF(EMPLOYEE[[#This Row],[Perf_Score]]&gt;=95,"Outstanding",IF(EMPLOYEE[[#This Row],[Perf_Score]]&gt;=85,"Exceeding",IF(EMPLOYEE[[#This Row],[Perf_Score]]&gt;=70,"Achieving",IF(EMPLOYEE[[#This Row],[Perf_Score]]&gt;=50,"Developing",IF(EMPLOYEE[[#This Row],[Perf_Score]]&gt;=0,"Needs Improvement","NA")))))</f>
        <v>Achieving</v>
      </c>
      <c r="M48" s="18">
        <f>IF(EMPLOYEE[[#This Row],[Perf_Score]]&gt;=95,0.12,IF(EMPLOYEE[[#This Row],[Perf_Score]]&gt;=85,0.08,IF(EMPLOYEE[[#This Row],[Perf_Score]]&gt;=70,0.05,IF(EMPLOYEE[[#This Row],[Perf_Score]]&gt;=50,0.02,IF(EMPLOYEE[[#This Row],[Perf_Score]]&gt;=0,0,"NA")))))</f>
        <v>0.05</v>
      </c>
    </row>
    <row r="49" spans="1:13" x14ac:dyDescent="0.25">
      <c r="A49" t="s">
        <v>89</v>
      </c>
      <c r="B49" t="s">
        <v>56</v>
      </c>
      <c r="C49" t="s">
        <v>25</v>
      </c>
      <c r="D49" s="2" t="s">
        <v>26</v>
      </c>
      <c r="E49" s="3">
        <v>44437</v>
      </c>
      <c r="F49" s="4">
        <v>99935</v>
      </c>
      <c r="G49">
        <v>84</v>
      </c>
      <c r="H49" t="s">
        <v>84</v>
      </c>
      <c r="I49" t="str">
        <f>VLOOKUP(EMPLOYEE[[#This Row],[Dept Code]],Lookup_Departments!$A$1:$B$7,2,FALSE)</f>
        <v>Operations</v>
      </c>
      <c r="J49" t="str">
        <f>CONCATENATE(EMPLOYEE[[#This Row],[First_Name]]," "," ",EMPLOYEE[[#This Row],[Last_Name]])</f>
        <v>Amanda  Johnson</v>
      </c>
      <c r="K49" s="13">
        <f ca="1">DATEDIF(EMPLOYEE[[#This Row],[Hire Date]],TODAY(),"Y")</f>
        <v>4</v>
      </c>
      <c r="L49" t="str">
        <f>IF(EMPLOYEE[[#This Row],[Perf_Score]]&gt;=95,"Outstanding",IF(EMPLOYEE[[#This Row],[Perf_Score]]&gt;=85,"Exceeding",IF(EMPLOYEE[[#This Row],[Perf_Score]]&gt;=70,"Achieving",IF(EMPLOYEE[[#This Row],[Perf_Score]]&gt;=50,"Developing",IF(EMPLOYEE[[#This Row],[Perf_Score]]&gt;=0,"Needs Improvement","NA")))))</f>
        <v>Achieving</v>
      </c>
      <c r="M49" s="18">
        <f>IF(EMPLOYEE[[#This Row],[Perf_Score]]&gt;=95,0.12,IF(EMPLOYEE[[#This Row],[Perf_Score]]&gt;=85,0.08,IF(EMPLOYEE[[#This Row],[Perf_Score]]&gt;=70,0.05,IF(EMPLOYEE[[#This Row],[Perf_Score]]&gt;=50,0.02,IF(EMPLOYEE[[#This Row],[Perf_Score]]&gt;=0,0,"NA")))))</f>
        <v>0.05</v>
      </c>
    </row>
    <row r="50" spans="1:13" x14ac:dyDescent="0.25">
      <c r="A50" t="s">
        <v>90</v>
      </c>
      <c r="B50" t="s">
        <v>17</v>
      </c>
      <c r="C50" t="s">
        <v>49</v>
      </c>
      <c r="D50" s="2" t="s">
        <v>9</v>
      </c>
      <c r="E50" s="3">
        <v>42761</v>
      </c>
      <c r="F50" s="4">
        <v>83531</v>
      </c>
      <c r="G50">
        <v>30</v>
      </c>
      <c r="H50" t="s">
        <v>23</v>
      </c>
      <c r="I50" t="str">
        <f>VLOOKUP(EMPLOYEE[[#This Row],[Dept Code]],Lookup_Departments!$A$1:$B$7,2,FALSE)</f>
        <v>Information Technology</v>
      </c>
      <c r="J50" t="str">
        <f>CONCATENATE(EMPLOYEE[[#This Row],[First_Name]]," "," ",EMPLOYEE[[#This Row],[Last_Name]])</f>
        <v>John  Davis</v>
      </c>
      <c r="K50" s="13">
        <f ca="1">DATEDIF(EMPLOYEE[[#This Row],[Hire Date]],TODAY(),"Y")</f>
        <v>9</v>
      </c>
      <c r="L50" t="str">
        <f>IF(EMPLOYEE[[#This Row],[Perf_Score]]&gt;=95,"Outstanding",IF(EMPLOYEE[[#This Row],[Perf_Score]]&gt;=85,"Exceeding",IF(EMPLOYEE[[#This Row],[Perf_Score]]&gt;=70,"Achieving",IF(EMPLOYEE[[#This Row],[Perf_Score]]&gt;=50,"Developing",IF(EMPLOYEE[[#This Row],[Perf_Score]]&gt;=0,"Needs Improvement","NA")))))</f>
        <v>Needs Improvement</v>
      </c>
      <c r="M50" s="18">
        <f>IF(EMPLOYEE[[#This Row],[Perf_Score]]&gt;=95,0.12,IF(EMPLOYEE[[#This Row],[Perf_Score]]&gt;=85,0.08,IF(EMPLOYEE[[#This Row],[Perf_Score]]&gt;=70,0.05,IF(EMPLOYEE[[#This Row],[Perf_Score]]&gt;=50,0.02,IF(EMPLOYEE[[#This Row],[Perf_Score]]&gt;=0,0,"NA")))))</f>
        <v>0</v>
      </c>
    </row>
    <row r="51" spans="1:13" x14ac:dyDescent="0.25">
      <c r="A51" t="s">
        <v>91</v>
      </c>
      <c r="B51" t="s">
        <v>51</v>
      </c>
      <c r="C51" t="s">
        <v>25</v>
      </c>
      <c r="D51" s="2" t="s">
        <v>13</v>
      </c>
      <c r="E51" s="3">
        <v>43981</v>
      </c>
      <c r="F51" s="4">
        <v>75023</v>
      </c>
      <c r="G51">
        <v>68</v>
      </c>
      <c r="H51" t="s">
        <v>36</v>
      </c>
      <c r="I51" t="str">
        <f>VLOOKUP(EMPLOYEE[[#This Row],[Dept Code]],Lookup_Departments!$A$1:$B$7,2,FALSE)</f>
        <v>Marketing</v>
      </c>
      <c r="J51" t="str">
        <f>CONCATENATE(EMPLOYEE[[#This Row],[First_Name]]," "," ",EMPLOYEE[[#This Row],[Last_Name]])</f>
        <v>James  Johnson</v>
      </c>
      <c r="K51" s="13">
        <f ca="1">DATEDIF(EMPLOYEE[[#This Row],[Hire Date]],TODAY(),"Y")</f>
        <v>6</v>
      </c>
      <c r="L51" t="str">
        <f>IF(EMPLOYEE[[#This Row],[Perf_Score]]&gt;=95,"Outstanding",IF(EMPLOYEE[[#This Row],[Perf_Score]]&gt;=85,"Exceeding",IF(EMPLOYEE[[#This Row],[Perf_Score]]&gt;=70,"Achieving",IF(EMPLOYEE[[#This Row],[Perf_Score]]&gt;=50,"Developing",IF(EMPLOYEE[[#This Row],[Perf_Score]]&gt;=0,"Needs Improvement","NA")))))</f>
        <v>Developing</v>
      </c>
      <c r="M51" s="18">
        <f>IF(EMPLOYEE[[#This Row],[Perf_Score]]&gt;=95,0.12,IF(EMPLOYEE[[#This Row],[Perf_Score]]&gt;=85,0.08,IF(EMPLOYEE[[#This Row],[Perf_Score]]&gt;=70,0.05,IF(EMPLOYEE[[#This Row],[Perf_Score]]&gt;=50,0.02,IF(EMPLOYEE[[#This Row],[Perf_Score]]&gt;=0,0,"NA")))))</f>
        <v>0.02</v>
      </c>
    </row>
    <row r="52" spans="1:13" x14ac:dyDescent="0.25">
      <c r="A52" t="s">
        <v>92</v>
      </c>
      <c r="B52" t="s">
        <v>41</v>
      </c>
      <c r="C52" t="s">
        <v>49</v>
      </c>
      <c r="D52" s="2" t="s">
        <v>72</v>
      </c>
      <c r="E52" s="3">
        <v>44612</v>
      </c>
      <c r="F52" s="4">
        <v>93290</v>
      </c>
      <c r="G52">
        <v>53</v>
      </c>
      <c r="H52" t="s">
        <v>36</v>
      </c>
      <c r="I52" t="str">
        <f>VLOOKUP(EMPLOYEE[[#This Row],[Dept Code]],Lookup_Departments!$A$1:$B$7,2,FALSE)</f>
        <v>Human Resources</v>
      </c>
      <c r="J52" t="str">
        <f>CONCATENATE(EMPLOYEE[[#This Row],[First_Name]]," "," ",EMPLOYEE[[#This Row],[Last_Name]])</f>
        <v>Jane  Davis</v>
      </c>
      <c r="K52" s="13">
        <f ca="1">DATEDIF(EMPLOYEE[[#This Row],[Hire Date]],TODAY(),"Y")</f>
        <v>4</v>
      </c>
      <c r="L52" t="str">
        <f>IF(EMPLOYEE[[#This Row],[Perf_Score]]&gt;=95,"Outstanding",IF(EMPLOYEE[[#This Row],[Perf_Score]]&gt;=85,"Exceeding",IF(EMPLOYEE[[#This Row],[Perf_Score]]&gt;=70,"Achieving",IF(EMPLOYEE[[#This Row],[Perf_Score]]&gt;=50,"Developing",IF(EMPLOYEE[[#This Row],[Perf_Score]]&gt;=0,"Needs Improvement","NA")))))</f>
        <v>Developing</v>
      </c>
      <c r="M52" s="18">
        <f>IF(EMPLOYEE[[#This Row],[Perf_Score]]&gt;=95,0.12,IF(EMPLOYEE[[#This Row],[Perf_Score]]&gt;=85,0.08,IF(EMPLOYEE[[#This Row],[Perf_Score]]&gt;=70,0.05,IF(EMPLOYEE[[#This Row],[Perf_Score]]&gt;=50,0.02,IF(EMPLOYEE[[#This Row],[Perf_Score]]&gt;=0,0,"NA")))))</f>
        <v>0.02</v>
      </c>
    </row>
    <row r="53" spans="1:13" x14ac:dyDescent="0.25">
      <c r="A53" t="s">
        <v>93</v>
      </c>
      <c r="B53" t="s">
        <v>11</v>
      </c>
      <c r="C53" t="s">
        <v>49</v>
      </c>
      <c r="D53" s="2" t="s">
        <v>26</v>
      </c>
      <c r="E53" s="3">
        <v>42628</v>
      </c>
      <c r="F53" s="4">
        <v>115527</v>
      </c>
      <c r="G53">
        <v>63</v>
      </c>
      <c r="H53" t="s">
        <v>84</v>
      </c>
      <c r="I53" t="str">
        <f>VLOOKUP(EMPLOYEE[[#This Row],[Dept Code]],Lookup_Departments!$A$1:$B$7,2,FALSE)</f>
        <v>Operations</v>
      </c>
      <c r="J53" t="str">
        <f>CONCATENATE(EMPLOYEE[[#This Row],[First_Name]]," "," ",EMPLOYEE[[#This Row],[Last_Name]])</f>
        <v>Richard  Davis</v>
      </c>
      <c r="K53" s="13">
        <f ca="1">DATEDIF(EMPLOYEE[[#This Row],[Hire Date]],TODAY(),"Y")</f>
        <v>9</v>
      </c>
      <c r="L53" t="str">
        <f>IF(EMPLOYEE[[#This Row],[Perf_Score]]&gt;=95,"Outstanding",IF(EMPLOYEE[[#This Row],[Perf_Score]]&gt;=85,"Exceeding",IF(EMPLOYEE[[#This Row],[Perf_Score]]&gt;=70,"Achieving",IF(EMPLOYEE[[#This Row],[Perf_Score]]&gt;=50,"Developing",IF(EMPLOYEE[[#This Row],[Perf_Score]]&gt;=0,"Needs Improvement","NA")))))</f>
        <v>Developing</v>
      </c>
      <c r="M53" s="18">
        <f>IF(EMPLOYEE[[#This Row],[Perf_Score]]&gt;=95,0.12,IF(EMPLOYEE[[#This Row],[Perf_Score]]&gt;=85,0.08,IF(EMPLOYEE[[#This Row],[Perf_Score]]&gt;=70,0.05,IF(EMPLOYEE[[#This Row],[Perf_Score]]&gt;=50,0.02,IF(EMPLOYEE[[#This Row],[Perf_Score]]&gt;=0,0,"NA")))))</f>
        <v>0.02</v>
      </c>
    </row>
    <row r="54" spans="1:13" x14ac:dyDescent="0.25">
      <c r="A54" t="s">
        <v>94</v>
      </c>
      <c r="B54" t="s">
        <v>21</v>
      </c>
      <c r="C54" t="s">
        <v>32</v>
      </c>
      <c r="D54" s="2" t="s">
        <v>19</v>
      </c>
      <c r="E54" s="3">
        <v>43745</v>
      </c>
      <c r="F54" s="4">
        <v>55920</v>
      </c>
      <c r="G54">
        <v>84</v>
      </c>
      <c r="H54" t="s">
        <v>36</v>
      </c>
      <c r="I54" t="str">
        <f>VLOOKUP(EMPLOYEE[[#This Row],[Dept Code]],Lookup_Departments!$A$1:$B$7,2,FALSE)</f>
        <v>Finance</v>
      </c>
      <c r="J54" t="str">
        <f>CONCATENATE(EMPLOYEE[[#This Row],[First_Name]]," "," ",EMPLOYEE[[#This Row],[Last_Name]])</f>
        <v>Thomas  Rodriguez</v>
      </c>
      <c r="K54" s="13">
        <f ca="1">DATEDIF(EMPLOYEE[[#This Row],[Hire Date]],TODAY(),"Y")</f>
        <v>6</v>
      </c>
      <c r="L54" t="str">
        <f>IF(EMPLOYEE[[#This Row],[Perf_Score]]&gt;=95,"Outstanding",IF(EMPLOYEE[[#This Row],[Perf_Score]]&gt;=85,"Exceeding",IF(EMPLOYEE[[#This Row],[Perf_Score]]&gt;=70,"Achieving",IF(EMPLOYEE[[#This Row],[Perf_Score]]&gt;=50,"Developing",IF(EMPLOYEE[[#This Row],[Perf_Score]]&gt;=0,"Needs Improvement","NA")))))</f>
        <v>Achieving</v>
      </c>
      <c r="M54" s="18">
        <f>IF(EMPLOYEE[[#This Row],[Perf_Score]]&gt;=95,0.12,IF(EMPLOYEE[[#This Row],[Perf_Score]]&gt;=85,0.08,IF(EMPLOYEE[[#This Row],[Perf_Score]]&gt;=70,0.05,IF(EMPLOYEE[[#This Row],[Perf_Score]]&gt;=50,0.02,IF(EMPLOYEE[[#This Row],[Perf_Score]]&gt;=0,0,"NA")))))</f>
        <v>0.05</v>
      </c>
    </row>
    <row r="55" spans="1:13" x14ac:dyDescent="0.25">
      <c r="A55" t="s">
        <v>95</v>
      </c>
      <c r="B55" t="s">
        <v>7</v>
      </c>
      <c r="C55" t="s">
        <v>25</v>
      </c>
      <c r="D55" s="2" t="s">
        <v>35</v>
      </c>
      <c r="E55" s="3">
        <v>43464</v>
      </c>
      <c r="F55" s="4">
        <v>80189</v>
      </c>
      <c r="G55">
        <v>30</v>
      </c>
      <c r="H55" t="s">
        <v>36</v>
      </c>
      <c r="I55" t="str">
        <f>VLOOKUP(EMPLOYEE[[#This Row],[Dept Code]],Lookup_Departments!$A$1:$B$7,2,FALSE)</f>
        <v>Sales</v>
      </c>
      <c r="J55" t="str">
        <f>CONCATENATE(EMPLOYEE[[#This Row],[First_Name]]," "," ",EMPLOYEE[[#This Row],[Last_Name]])</f>
        <v>Emily  Johnson</v>
      </c>
      <c r="K55" s="13">
        <f ca="1">DATEDIF(EMPLOYEE[[#This Row],[Hire Date]],TODAY(),"Y")</f>
        <v>7</v>
      </c>
      <c r="L55" t="str">
        <f>IF(EMPLOYEE[[#This Row],[Perf_Score]]&gt;=95,"Outstanding",IF(EMPLOYEE[[#This Row],[Perf_Score]]&gt;=85,"Exceeding",IF(EMPLOYEE[[#This Row],[Perf_Score]]&gt;=70,"Achieving",IF(EMPLOYEE[[#This Row],[Perf_Score]]&gt;=50,"Developing",IF(EMPLOYEE[[#This Row],[Perf_Score]]&gt;=0,"Needs Improvement","NA")))))</f>
        <v>Needs Improvement</v>
      </c>
      <c r="M55" s="18">
        <f>IF(EMPLOYEE[[#This Row],[Perf_Score]]&gt;=95,0.12,IF(EMPLOYEE[[#This Row],[Perf_Score]]&gt;=85,0.08,IF(EMPLOYEE[[#This Row],[Perf_Score]]&gt;=70,0.05,IF(EMPLOYEE[[#This Row],[Perf_Score]]&gt;=50,0.02,IF(EMPLOYEE[[#This Row],[Perf_Score]]&gt;=0,0,"NA")))))</f>
        <v>0</v>
      </c>
    </row>
    <row r="56" spans="1:13" x14ac:dyDescent="0.25">
      <c r="A56" t="s">
        <v>96</v>
      </c>
      <c r="B56" t="s">
        <v>7</v>
      </c>
      <c r="C56" t="s">
        <v>97</v>
      </c>
      <c r="D56" s="2" t="s">
        <v>72</v>
      </c>
      <c r="E56" s="3">
        <v>44189</v>
      </c>
      <c r="F56" s="4">
        <v>118947</v>
      </c>
      <c r="G56">
        <v>96</v>
      </c>
      <c r="H56" t="s">
        <v>36</v>
      </c>
      <c r="I56" t="str">
        <f>VLOOKUP(EMPLOYEE[[#This Row],[Dept Code]],Lookup_Departments!$A$1:$B$7,2,FALSE)</f>
        <v>Human Resources</v>
      </c>
      <c r="J56" t="str">
        <f>CONCATENATE(EMPLOYEE[[#This Row],[First_Name]]," "," ",EMPLOYEE[[#This Row],[Last_Name]])</f>
        <v>Emily  Garcia</v>
      </c>
      <c r="K56" s="13">
        <f ca="1">DATEDIF(EMPLOYEE[[#This Row],[Hire Date]],TODAY(),"Y")</f>
        <v>5</v>
      </c>
      <c r="L56" t="str">
        <f>IF(EMPLOYEE[[#This Row],[Perf_Score]]&gt;=95,"Outstanding",IF(EMPLOYEE[[#This Row],[Perf_Score]]&gt;=85,"Exceeding",IF(EMPLOYEE[[#This Row],[Perf_Score]]&gt;=70,"Achieving",IF(EMPLOYEE[[#This Row],[Perf_Score]]&gt;=50,"Developing",IF(EMPLOYEE[[#This Row],[Perf_Score]]&gt;=0,"Needs Improvement","NA")))))</f>
        <v>Outstanding</v>
      </c>
      <c r="M56" s="18">
        <f>IF(EMPLOYEE[[#This Row],[Perf_Score]]&gt;=95,0.12,IF(EMPLOYEE[[#This Row],[Perf_Score]]&gt;=85,0.08,IF(EMPLOYEE[[#This Row],[Perf_Score]]&gt;=70,0.05,IF(EMPLOYEE[[#This Row],[Perf_Score]]&gt;=50,0.02,IF(EMPLOYEE[[#This Row],[Perf_Score]]&gt;=0,0,"NA")))))</f>
        <v>0.12</v>
      </c>
    </row>
    <row r="57" spans="1:13" x14ac:dyDescent="0.25">
      <c r="A57" t="s">
        <v>98</v>
      </c>
      <c r="B57" t="s">
        <v>41</v>
      </c>
      <c r="C57" t="s">
        <v>99</v>
      </c>
      <c r="D57" s="2" t="s">
        <v>9</v>
      </c>
      <c r="E57" s="3">
        <v>45112</v>
      </c>
      <c r="F57" s="4">
        <v>83593</v>
      </c>
      <c r="G57">
        <v>54</v>
      </c>
      <c r="H57" t="s">
        <v>36</v>
      </c>
      <c r="I57" t="str">
        <f>VLOOKUP(EMPLOYEE[[#This Row],[Dept Code]],Lookup_Departments!$A$1:$B$7,2,FALSE)</f>
        <v>Information Technology</v>
      </c>
      <c r="J57" t="str">
        <f>CONCATENATE(EMPLOYEE[[#This Row],[First_Name]]," "," ",EMPLOYEE[[#This Row],[Last_Name]])</f>
        <v>Jane  Anderson</v>
      </c>
      <c r="K57" s="13">
        <f ca="1">DATEDIF(EMPLOYEE[[#This Row],[Hire Date]],TODAY(),"Y")</f>
        <v>3</v>
      </c>
      <c r="L57" t="str">
        <f>IF(EMPLOYEE[[#This Row],[Perf_Score]]&gt;=95,"Outstanding",IF(EMPLOYEE[[#This Row],[Perf_Score]]&gt;=85,"Exceeding",IF(EMPLOYEE[[#This Row],[Perf_Score]]&gt;=70,"Achieving",IF(EMPLOYEE[[#This Row],[Perf_Score]]&gt;=50,"Developing",IF(EMPLOYEE[[#This Row],[Perf_Score]]&gt;=0,"Needs Improvement","NA")))))</f>
        <v>Developing</v>
      </c>
      <c r="M57" s="18">
        <f>IF(EMPLOYEE[[#This Row],[Perf_Score]]&gt;=95,0.12,IF(EMPLOYEE[[#This Row],[Perf_Score]]&gt;=85,0.08,IF(EMPLOYEE[[#This Row],[Perf_Score]]&gt;=70,0.05,IF(EMPLOYEE[[#This Row],[Perf_Score]]&gt;=50,0.02,IF(EMPLOYEE[[#This Row],[Perf_Score]]&gt;=0,0,"NA")))))</f>
        <v>0.02</v>
      </c>
    </row>
    <row r="58" spans="1:13" x14ac:dyDescent="0.25">
      <c r="A58" t="s">
        <v>100</v>
      </c>
      <c r="B58" t="s">
        <v>21</v>
      </c>
      <c r="C58" t="s">
        <v>97</v>
      </c>
      <c r="D58" s="2" t="s">
        <v>26</v>
      </c>
      <c r="E58" s="3">
        <v>44148</v>
      </c>
      <c r="F58" s="4">
        <v>83013</v>
      </c>
      <c r="G58">
        <v>75</v>
      </c>
      <c r="H58" t="s">
        <v>36</v>
      </c>
      <c r="I58" t="str">
        <f>VLOOKUP(EMPLOYEE[[#This Row],[Dept Code]],Lookup_Departments!$A$1:$B$7,2,FALSE)</f>
        <v>Operations</v>
      </c>
      <c r="J58" t="str">
        <f>CONCATENATE(EMPLOYEE[[#This Row],[First_Name]]," "," ",EMPLOYEE[[#This Row],[Last_Name]])</f>
        <v>Thomas  Garcia</v>
      </c>
      <c r="K58" s="13">
        <f ca="1">DATEDIF(EMPLOYEE[[#This Row],[Hire Date]],TODAY(),"Y")</f>
        <v>5</v>
      </c>
      <c r="L58" t="str">
        <f>IF(EMPLOYEE[[#This Row],[Perf_Score]]&gt;=95,"Outstanding",IF(EMPLOYEE[[#This Row],[Perf_Score]]&gt;=85,"Exceeding",IF(EMPLOYEE[[#This Row],[Perf_Score]]&gt;=70,"Achieving",IF(EMPLOYEE[[#This Row],[Perf_Score]]&gt;=50,"Developing",IF(EMPLOYEE[[#This Row],[Perf_Score]]&gt;=0,"Needs Improvement","NA")))))</f>
        <v>Achieving</v>
      </c>
      <c r="M58" s="18">
        <f>IF(EMPLOYEE[[#This Row],[Perf_Score]]&gt;=95,0.12,IF(EMPLOYEE[[#This Row],[Perf_Score]]&gt;=85,0.08,IF(EMPLOYEE[[#This Row],[Perf_Score]]&gt;=70,0.05,IF(EMPLOYEE[[#This Row],[Perf_Score]]&gt;=50,0.02,IF(EMPLOYEE[[#This Row],[Perf_Score]]&gt;=0,0,"NA")))))</f>
        <v>0.05</v>
      </c>
    </row>
    <row r="59" spans="1:13" x14ac:dyDescent="0.25">
      <c r="A59" t="s">
        <v>101</v>
      </c>
      <c r="B59" t="s">
        <v>82</v>
      </c>
      <c r="C59" t="s">
        <v>18</v>
      </c>
      <c r="D59" s="2" t="s">
        <v>72</v>
      </c>
      <c r="E59" s="3">
        <v>43138</v>
      </c>
      <c r="F59" s="4">
        <v>91655</v>
      </c>
      <c r="G59">
        <v>95</v>
      </c>
      <c r="H59" t="s">
        <v>36</v>
      </c>
      <c r="I59" t="str">
        <f>VLOOKUP(EMPLOYEE[[#This Row],[Dept Code]],Lookup_Departments!$A$1:$B$7,2,FALSE)</f>
        <v>Human Resources</v>
      </c>
      <c r="J59" t="str">
        <f>CONCATENATE(EMPLOYEE[[#This Row],[First_Name]]," "," ",EMPLOYEE[[#This Row],[Last_Name]])</f>
        <v>David  Martinez</v>
      </c>
      <c r="K59" s="13">
        <f ca="1">DATEDIF(EMPLOYEE[[#This Row],[Hire Date]],TODAY(),"Y")</f>
        <v>8</v>
      </c>
      <c r="L59" t="str">
        <f>IF(EMPLOYEE[[#This Row],[Perf_Score]]&gt;=95,"Outstanding",IF(EMPLOYEE[[#This Row],[Perf_Score]]&gt;=85,"Exceeding",IF(EMPLOYEE[[#This Row],[Perf_Score]]&gt;=70,"Achieving",IF(EMPLOYEE[[#This Row],[Perf_Score]]&gt;=50,"Developing",IF(EMPLOYEE[[#This Row],[Perf_Score]]&gt;=0,"Needs Improvement","NA")))))</f>
        <v>Outstanding</v>
      </c>
      <c r="M59" s="18">
        <f>IF(EMPLOYEE[[#This Row],[Perf_Score]]&gt;=95,0.12,IF(EMPLOYEE[[#This Row],[Perf_Score]]&gt;=85,0.08,IF(EMPLOYEE[[#This Row],[Perf_Score]]&gt;=70,0.05,IF(EMPLOYEE[[#This Row],[Perf_Score]]&gt;=50,0.02,IF(EMPLOYEE[[#This Row],[Perf_Score]]&gt;=0,0,"NA")))))</f>
        <v>0.12</v>
      </c>
    </row>
    <row r="60" spans="1:13" x14ac:dyDescent="0.25">
      <c r="A60" t="s">
        <v>102</v>
      </c>
      <c r="B60" t="s">
        <v>7</v>
      </c>
      <c r="C60" t="s">
        <v>8</v>
      </c>
      <c r="D60" s="2" t="s">
        <v>9</v>
      </c>
      <c r="E60" s="3">
        <v>45255</v>
      </c>
      <c r="F60" s="4">
        <v>49435</v>
      </c>
      <c r="G60">
        <v>68</v>
      </c>
      <c r="H60" t="s">
        <v>23</v>
      </c>
      <c r="I60" t="str">
        <f>VLOOKUP(EMPLOYEE[[#This Row],[Dept Code]],Lookup_Departments!$A$1:$B$7,2,FALSE)</f>
        <v>Information Technology</v>
      </c>
      <c r="J60" t="str">
        <f>CONCATENATE(EMPLOYEE[[#This Row],[First_Name]]," "," ",EMPLOYEE[[#This Row],[Last_Name]])</f>
        <v>Emily  Brown</v>
      </c>
      <c r="K60" s="13">
        <f ca="1">DATEDIF(EMPLOYEE[[#This Row],[Hire Date]],TODAY(),"Y")</f>
        <v>2</v>
      </c>
      <c r="L60" t="str">
        <f>IF(EMPLOYEE[[#This Row],[Perf_Score]]&gt;=95,"Outstanding",IF(EMPLOYEE[[#This Row],[Perf_Score]]&gt;=85,"Exceeding",IF(EMPLOYEE[[#This Row],[Perf_Score]]&gt;=70,"Achieving",IF(EMPLOYEE[[#This Row],[Perf_Score]]&gt;=50,"Developing",IF(EMPLOYEE[[#This Row],[Perf_Score]]&gt;=0,"Needs Improvement","NA")))))</f>
        <v>Developing</v>
      </c>
      <c r="M60" s="18">
        <f>IF(EMPLOYEE[[#This Row],[Perf_Score]]&gt;=95,0.12,IF(EMPLOYEE[[#This Row],[Perf_Score]]&gt;=85,0.08,IF(EMPLOYEE[[#This Row],[Perf_Score]]&gt;=70,0.05,IF(EMPLOYEE[[#This Row],[Perf_Score]]&gt;=50,0.02,IF(EMPLOYEE[[#This Row],[Perf_Score]]&gt;=0,0,"NA")))))</f>
        <v>0.02</v>
      </c>
    </row>
    <row r="61" spans="1:13" x14ac:dyDescent="0.25">
      <c r="A61" t="s">
        <v>103</v>
      </c>
      <c r="B61" t="s">
        <v>7</v>
      </c>
      <c r="C61" t="s">
        <v>28</v>
      </c>
      <c r="D61" s="2" t="s">
        <v>35</v>
      </c>
      <c r="E61" s="3">
        <v>45217</v>
      </c>
      <c r="F61" s="4">
        <v>110381</v>
      </c>
      <c r="G61">
        <v>93</v>
      </c>
      <c r="H61" t="s">
        <v>36</v>
      </c>
      <c r="I61" t="str">
        <f>VLOOKUP(EMPLOYEE[[#This Row],[Dept Code]],Lookup_Departments!$A$1:$B$7,2,FALSE)</f>
        <v>Sales</v>
      </c>
      <c r="J61" t="str">
        <f>CONCATENATE(EMPLOYEE[[#This Row],[First_Name]]," "," ",EMPLOYEE[[#This Row],[Last_Name]])</f>
        <v>Emily  Wilson</v>
      </c>
      <c r="K61" s="13">
        <f ca="1">DATEDIF(EMPLOYEE[[#This Row],[Hire Date]],TODAY(),"Y")</f>
        <v>2</v>
      </c>
      <c r="L61" t="str">
        <f>IF(EMPLOYEE[[#This Row],[Perf_Score]]&gt;=95,"Outstanding",IF(EMPLOYEE[[#This Row],[Perf_Score]]&gt;=85,"Exceeding",IF(EMPLOYEE[[#This Row],[Perf_Score]]&gt;=70,"Achieving",IF(EMPLOYEE[[#This Row],[Perf_Score]]&gt;=50,"Developing",IF(EMPLOYEE[[#This Row],[Perf_Score]]&gt;=0,"Needs Improvement","NA")))))</f>
        <v>Exceeding</v>
      </c>
      <c r="M61" s="18">
        <f>IF(EMPLOYEE[[#This Row],[Perf_Score]]&gt;=95,0.12,IF(EMPLOYEE[[#This Row],[Perf_Score]]&gt;=85,0.08,IF(EMPLOYEE[[#This Row],[Perf_Score]]&gt;=70,0.05,IF(EMPLOYEE[[#This Row],[Perf_Score]]&gt;=50,0.02,IF(EMPLOYEE[[#This Row],[Perf_Score]]&gt;=0,0,"NA")))))</f>
        <v>0.08</v>
      </c>
    </row>
    <row r="62" spans="1:13" x14ac:dyDescent="0.25">
      <c r="A62" t="s">
        <v>104</v>
      </c>
      <c r="B62" t="s">
        <v>34</v>
      </c>
      <c r="C62" t="s">
        <v>99</v>
      </c>
      <c r="D62" s="2" t="s">
        <v>72</v>
      </c>
      <c r="E62" s="3">
        <v>44079</v>
      </c>
      <c r="F62" s="4">
        <v>114748</v>
      </c>
      <c r="G62">
        <v>33</v>
      </c>
      <c r="H62" t="s">
        <v>36</v>
      </c>
      <c r="I62" t="str">
        <f>VLOOKUP(EMPLOYEE[[#This Row],[Dept Code]],Lookup_Departments!$A$1:$B$7,2,FALSE)</f>
        <v>Human Resources</v>
      </c>
      <c r="J62" t="str">
        <f>CONCATENATE(EMPLOYEE[[#This Row],[First_Name]]," "," ",EMPLOYEE[[#This Row],[Last_Name]])</f>
        <v>Michael  Anderson</v>
      </c>
      <c r="K62" s="13">
        <f ca="1">DATEDIF(EMPLOYEE[[#This Row],[Hire Date]],TODAY(),"Y")</f>
        <v>5</v>
      </c>
      <c r="L62" t="str">
        <f>IF(EMPLOYEE[[#This Row],[Perf_Score]]&gt;=95,"Outstanding",IF(EMPLOYEE[[#This Row],[Perf_Score]]&gt;=85,"Exceeding",IF(EMPLOYEE[[#This Row],[Perf_Score]]&gt;=70,"Achieving",IF(EMPLOYEE[[#This Row],[Perf_Score]]&gt;=50,"Developing",IF(EMPLOYEE[[#This Row],[Perf_Score]]&gt;=0,"Needs Improvement","NA")))))</f>
        <v>Needs Improvement</v>
      </c>
      <c r="M62" s="18">
        <f>IF(EMPLOYEE[[#This Row],[Perf_Score]]&gt;=95,0.12,IF(EMPLOYEE[[#This Row],[Perf_Score]]&gt;=85,0.08,IF(EMPLOYEE[[#This Row],[Perf_Score]]&gt;=70,0.05,IF(EMPLOYEE[[#This Row],[Perf_Score]]&gt;=50,0.02,IF(EMPLOYEE[[#This Row],[Perf_Score]]&gt;=0,0,"NA")))))</f>
        <v>0</v>
      </c>
    </row>
    <row r="63" spans="1:13" x14ac:dyDescent="0.25">
      <c r="A63" t="s">
        <v>105</v>
      </c>
      <c r="B63" t="s">
        <v>45</v>
      </c>
      <c r="C63" t="s">
        <v>25</v>
      </c>
      <c r="D63" s="2" t="s">
        <v>26</v>
      </c>
      <c r="E63" s="3">
        <v>42800</v>
      </c>
      <c r="F63" s="4">
        <v>63302</v>
      </c>
      <c r="G63">
        <v>91</v>
      </c>
      <c r="H63" t="s">
        <v>36</v>
      </c>
      <c r="I63" t="str">
        <f>VLOOKUP(EMPLOYEE[[#This Row],[Dept Code]],Lookup_Departments!$A$1:$B$7,2,FALSE)</f>
        <v>Operations</v>
      </c>
      <c r="J63" t="str">
        <f>CONCATENATE(EMPLOYEE[[#This Row],[First_Name]]," "," ",EMPLOYEE[[#This Row],[Last_Name]])</f>
        <v>Robert  Johnson</v>
      </c>
      <c r="K63" s="13">
        <f ca="1">DATEDIF(EMPLOYEE[[#This Row],[Hire Date]],TODAY(),"Y")</f>
        <v>9</v>
      </c>
      <c r="L63" t="str">
        <f>IF(EMPLOYEE[[#This Row],[Perf_Score]]&gt;=95,"Outstanding",IF(EMPLOYEE[[#This Row],[Perf_Score]]&gt;=85,"Exceeding",IF(EMPLOYEE[[#This Row],[Perf_Score]]&gt;=70,"Achieving",IF(EMPLOYEE[[#This Row],[Perf_Score]]&gt;=50,"Developing",IF(EMPLOYEE[[#This Row],[Perf_Score]]&gt;=0,"Needs Improvement","NA")))))</f>
        <v>Exceeding</v>
      </c>
      <c r="M63" s="18">
        <f>IF(EMPLOYEE[[#This Row],[Perf_Score]]&gt;=95,0.12,IF(EMPLOYEE[[#This Row],[Perf_Score]]&gt;=85,0.08,IF(EMPLOYEE[[#This Row],[Perf_Score]]&gt;=70,0.05,IF(EMPLOYEE[[#This Row],[Perf_Score]]&gt;=50,0.02,IF(EMPLOYEE[[#This Row],[Perf_Score]]&gt;=0,0,"NA")))))</f>
        <v>0.08</v>
      </c>
    </row>
    <row r="64" spans="1:13" x14ac:dyDescent="0.25">
      <c r="A64" t="s">
        <v>106</v>
      </c>
      <c r="B64" t="s">
        <v>45</v>
      </c>
      <c r="C64" t="s">
        <v>38</v>
      </c>
      <c r="D64" s="2" t="s">
        <v>9</v>
      </c>
      <c r="E64" s="3">
        <v>42122</v>
      </c>
      <c r="F64" s="4">
        <v>75519</v>
      </c>
      <c r="G64">
        <v>64</v>
      </c>
      <c r="H64" t="s">
        <v>36</v>
      </c>
      <c r="I64" t="str">
        <f>VLOOKUP(EMPLOYEE[[#This Row],[Dept Code]],Lookup_Departments!$A$1:$B$7,2,FALSE)</f>
        <v>Information Technology</v>
      </c>
      <c r="J64" t="str">
        <f>CONCATENATE(EMPLOYEE[[#This Row],[First_Name]]," "," ",EMPLOYEE[[#This Row],[Last_Name]])</f>
        <v>Robert  Miller</v>
      </c>
      <c r="K64" s="13">
        <f ca="1">DATEDIF(EMPLOYEE[[#This Row],[Hire Date]],TODAY(),"Y")</f>
        <v>11</v>
      </c>
      <c r="L64" t="str">
        <f>IF(EMPLOYEE[[#This Row],[Perf_Score]]&gt;=95,"Outstanding",IF(EMPLOYEE[[#This Row],[Perf_Score]]&gt;=85,"Exceeding",IF(EMPLOYEE[[#This Row],[Perf_Score]]&gt;=70,"Achieving",IF(EMPLOYEE[[#This Row],[Perf_Score]]&gt;=50,"Developing",IF(EMPLOYEE[[#This Row],[Perf_Score]]&gt;=0,"Needs Improvement","NA")))))</f>
        <v>Developing</v>
      </c>
      <c r="M64" s="18">
        <f>IF(EMPLOYEE[[#This Row],[Perf_Score]]&gt;=95,0.12,IF(EMPLOYEE[[#This Row],[Perf_Score]]&gt;=85,0.08,IF(EMPLOYEE[[#This Row],[Perf_Score]]&gt;=70,0.05,IF(EMPLOYEE[[#This Row],[Perf_Score]]&gt;=50,0.02,IF(EMPLOYEE[[#This Row],[Perf_Score]]&gt;=0,0,"NA")))))</f>
        <v>0.02</v>
      </c>
    </row>
    <row r="65" spans="1:13" x14ac:dyDescent="0.25">
      <c r="A65" t="s">
        <v>107</v>
      </c>
      <c r="B65" t="s">
        <v>41</v>
      </c>
      <c r="C65" t="s">
        <v>49</v>
      </c>
      <c r="D65" s="2" t="s">
        <v>19</v>
      </c>
      <c r="E65" s="3">
        <v>42838</v>
      </c>
      <c r="F65" s="4">
        <v>103891</v>
      </c>
      <c r="G65">
        <v>80</v>
      </c>
      <c r="H65" t="s">
        <v>36</v>
      </c>
      <c r="I65" t="str">
        <f>VLOOKUP(EMPLOYEE[[#This Row],[Dept Code]],Lookup_Departments!$A$1:$B$7,2,FALSE)</f>
        <v>Finance</v>
      </c>
      <c r="J65" t="str">
        <f>CONCATENATE(EMPLOYEE[[#This Row],[First_Name]]," "," ",EMPLOYEE[[#This Row],[Last_Name]])</f>
        <v>Jane  Davis</v>
      </c>
      <c r="K65" s="13">
        <f ca="1">DATEDIF(EMPLOYEE[[#This Row],[Hire Date]],TODAY(),"Y")</f>
        <v>9</v>
      </c>
      <c r="L65" t="str">
        <f>IF(EMPLOYEE[[#This Row],[Perf_Score]]&gt;=95,"Outstanding",IF(EMPLOYEE[[#This Row],[Perf_Score]]&gt;=85,"Exceeding",IF(EMPLOYEE[[#This Row],[Perf_Score]]&gt;=70,"Achieving",IF(EMPLOYEE[[#This Row],[Perf_Score]]&gt;=50,"Developing",IF(EMPLOYEE[[#This Row],[Perf_Score]]&gt;=0,"Needs Improvement","NA")))))</f>
        <v>Achieving</v>
      </c>
      <c r="M65" s="18">
        <f>IF(EMPLOYEE[[#This Row],[Perf_Score]]&gt;=95,0.12,IF(EMPLOYEE[[#This Row],[Perf_Score]]&gt;=85,0.08,IF(EMPLOYEE[[#This Row],[Perf_Score]]&gt;=70,0.05,IF(EMPLOYEE[[#This Row],[Perf_Score]]&gt;=50,0.02,IF(EMPLOYEE[[#This Row],[Perf_Score]]&gt;=0,0,"NA")))))</f>
        <v>0.05</v>
      </c>
    </row>
    <row r="66" spans="1:13" x14ac:dyDescent="0.25">
      <c r="A66" t="s">
        <v>108</v>
      </c>
      <c r="B66" t="s">
        <v>21</v>
      </c>
      <c r="C66" t="s">
        <v>49</v>
      </c>
      <c r="D66" s="2" t="s">
        <v>26</v>
      </c>
      <c r="E66" s="3">
        <v>44827</v>
      </c>
      <c r="F66" s="4">
        <v>83013</v>
      </c>
      <c r="G66">
        <v>46</v>
      </c>
      <c r="H66" t="s">
        <v>23</v>
      </c>
      <c r="I66" t="str">
        <f>VLOOKUP(EMPLOYEE[[#This Row],[Dept Code]],Lookup_Departments!$A$1:$B$7,2,FALSE)</f>
        <v>Operations</v>
      </c>
      <c r="J66" t="str">
        <f>CONCATENATE(EMPLOYEE[[#This Row],[First_Name]]," "," ",EMPLOYEE[[#This Row],[Last_Name]])</f>
        <v>Thomas  Davis</v>
      </c>
      <c r="K66" s="13">
        <f ca="1">DATEDIF(EMPLOYEE[[#This Row],[Hire Date]],TODAY(),"Y")</f>
        <v>3</v>
      </c>
      <c r="L66" t="str">
        <f>IF(EMPLOYEE[[#This Row],[Perf_Score]]&gt;=95,"Outstanding",IF(EMPLOYEE[[#This Row],[Perf_Score]]&gt;=85,"Exceeding",IF(EMPLOYEE[[#This Row],[Perf_Score]]&gt;=70,"Achieving",IF(EMPLOYEE[[#This Row],[Perf_Score]]&gt;=50,"Developing",IF(EMPLOYEE[[#This Row],[Perf_Score]]&gt;=0,"Needs Improvement","NA")))))</f>
        <v>Needs Improvement</v>
      </c>
      <c r="M66" s="18">
        <f>IF(EMPLOYEE[[#This Row],[Perf_Score]]&gt;=95,0.12,IF(EMPLOYEE[[#This Row],[Perf_Score]]&gt;=85,0.08,IF(EMPLOYEE[[#This Row],[Perf_Score]]&gt;=70,0.05,IF(EMPLOYEE[[#This Row],[Perf_Score]]&gt;=50,0.02,IF(EMPLOYEE[[#This Row],[Perf_Score]]&gt;=0,0,"NA")))))</f>
        <v>0</v>
      </c>
    </row>
    <row r="67" spans="1:13" x14ac:dyDescent="0.25">
      <c r="A67" t="s">
        <v>109</v>
      </c>
      <c r="B67" t="s">
        <v>21</v>
      </c>
      <c r="C67" t="s">
        <v>46</v>
      </c>
      <c r="D67" s="2" t="s">
        <v>13</v>
      </c>
      <c r="E67" s="3">
        <v>42685</v>
      </c>
      <c r="F67" s="4">
        <v>50936</v>
      </c>
      <c r="G67">
        <v>99</v>
      </c>
      <c r="H67" t="s">
        <v>36</v>
      </c>
      <c r="I67" t="str">
        <f>VLOOKUP(EMPLOYEE[[#This Row],[Dept Code]],Lookup_Departments!$A$1:$B$7,2,FALSE)</f>
        <v>Marketing</v>
      </c>
      <c r="J67" t="str">
        <f>CONCATENATE(EMPLOYEE[[#This Row],[First_Name]]," "," ",EMPLOYEE[[#This Row],[Last_Name]])</f>
        <v>Thomas  Jones</v>
      </c>
      <c r="K67" s="13">
        <f ca="1">DATEDIF(EMPLOYEE[[#This Row],[Hire Date]],TODAY(),"Y")</f>
        <v>9</v>
      </c>
      <c r="L67" t="str">
        <f>IF(EMPLOYEE[[#This Row],[Perf_Score]]&gt;=95,"Outstanding",IF(EMPLOYEE[[#This Row],[Perf_Score]]&gt;=85,"Exceeding",IF(EMPLOYEE[[#This Row],[Perf_Score]]&gt;=70,"Achieving",IF(EMPLOYEE[[#This Row],[Perf_Score]]&gt;=50,"Developing",IF(EMPLOYEE[[#This Row],[Perf_Score]]&gt;=0,"Needs Improvement","NA")))))</f>
        <v>Outstanding</v>
      </c>
      <c r="M67" s="18">
        <f>IF(EMPLOYEE[[#This Row],[Perf_Score]]&gt;=95,0.12,IF(EMPLOYEE[[#This Row],[Perf_Score]]&gt;=85,0.08,IF(EMPLOYEE[[#This Row],[Perf_Score]]&gt;=70,0.05,IF(EMPLOYEE[[#This Row],[Perf_Score]]&gt;=50,0.02,IF(EMPLOYEE[[#This Row],[Perf_Score]]&gt;=0,0,"NA")))))</f>
        <v>0.12</v>
      </c>
    </row>
    <row r="68" spans="1:13" x14ac:dyDescent="0.25">
      <c r="A68" t="s">
        <v>110</v>
      </c>
      <c r="B68" t="s">
        <v>34</v>
      </c>
      <c r="C68" t="s">
        <v>38</v>
      </c>
      <c r="D68" s="2" t="s">
        <v>35</v>
      </c>
      <c r="E68" s="3">
        <v>42818</v>
      </c>
      <c r="F68" s="4">
        <v>111240</v>
      </c>
      <c r="G68">
        <v>68</v>
      </c>
      <c r="H68" t="s">
        <v>36</v>
      </c>
      <c r="I68" t="str">
        <f>VLOOKUP(EMPLOYEE[[#This Row],[Dept Code]],Lookup_Departments!$A$1:$B$7,2,FALSE)</f>
        <v>Sales</v>
      </c>
      <c r="J68" t="str">
        <f>CONCATENATE(EMPLOYEE[[#This Row],[First_Name]]," "," ",EMPLOYEE[[#This Row],[Last_Name]])</f>
        <v>Michael  Miller</v>
      </c>
      <c r="K68" s="13">
        <f ca="1">DATEDIF(EMPLOYEE[[#This Row],[Hire Date]],TODAY(),"Y")</f>
        <v>9</v>
      </c>
      <c r="L68" t="str">
        <f>IF(EMPLOYEE[[#This Row],[Perf_Score]]&gt;=95,"Outstanding",IF(EMPLOYEE[[#This Row],[Perf_Score]]&gt;=85,"Exceeding",IF(EMPLOYEE[[#This Row],[Perf_Score]]&gt;=70,"Achieving",IF(EMPLOYEE[[#This Row],[Perf_Score]]&gt;=50,"Developing",IF(EMPLOYEE[[#This Row],[Perf_Score]]&gt;=0,"Needs Improvement","NA")))))</f>
        <v>Developing</v>
      </c>
      <c r="M68" s="18">
        <f>IF(EMPLOYEE[[#This Row],[Perf_Score]]&gt;=95,0.12,IF(EMPLOYEE[[#This Row],[Perf_Score]]&gt;=85,0.08,IF(EMPLOYEE[[#This Row],[Perf_Score]]&gt;=70,0.05,IF(EMPLOYEE[[#This Row],[Perf_Score]]&gt;=50,0.02,IF(EMPLOYEE[[#This Row],[Perf_Score]]&gt;=0,0,"NA")))))</f>
        <v>0.02</v>
      </c>
    </row>
    <row r="69" spans="1:13" x14ac:dyDescent="0.25">
      <c r="A69" t="s">
        <v>111</v>
      </c>
      <c r="B69" t="s">
        <v>11</v>
      </c>
      <c r="C69" t="s">
        <v>15</v>
      </c>
      <c r="D69" s="2" t="s">
        <v>72</v>
      </c>
      <c r="E69" s="3">
        <v>43590</v>
      </c>
      <c r="F69" s="4">
        <v>51567</v>
      </c>
      <c r="G69">
        <v>87</v>
      </c>
      <c r="H69" t="s">
        <v>84</v>
      </c>
      <c r="I69" t="str">
        <f>VLOOKUP(EMPLOYEE[[#This Row],[Dept Code]],Lookup_Departments!$A$1:$B$7,2,FALSE)</f>
        <v>Human Resources</v>
      </c>
      <c r="J69" t="str">
        <f>CONCATENATE(EMPLOYEE[[#This Row],[First_Name]]," "," ",EMPLOYEE[[#This Row],[Last_Name]])</f>
        <v>Richard  Gonzalez</v>
      </c>
      <c r="K69" s="13">
        <f ca="1">DATEDIF(EMPLOYEE[[#This Row],[Hire Date]],TODAY(),"Y")</f>
        <v>7</v>
      </c>
      <c r="L69" t="str">
        <f>IF(EMPLOYEE[[#This Row],[Perf_Score]]&gt;=95,"Outstanding",IF(EMPLOYEE[[#This Row],[Perf_Score]]&gt;=85,"Exceeding",IF(EMPLOYEE[[#This Row],[Perf_Score]]&gt;=70,"Achieving",IF(EMPLOYEE[[#This Row],[Perf_Score]]&gt;=50,"Developing",IF(EMPLOYEE[[#This Row],[Perf_Score]]&gt;=0,"Needs Improvement","NA")))))</f>
        <v>Exceeding</v>
      </c>
      <c r="M69" s="18">
        <f>IF(EMPLOYEE[[#This Row],[Perf_Score]]&gt;=95,0.12,IF(EMPLOYEE[[#This Row],[Perf_Score]]&gt;=85,0.08,IF(EMPLOYEE[[#This Row],[Perf_Score]]&gt;=70,0.05,IF(EMPLOYEE[[#This Row],[Perf_Score]]&gt;=50,0.02,IF(EMPLOYEE[[#This Row],[Perf_Score]]&gt;=0,0,"NA")))))</f>
        <v>0.08</v>
      </c>
    </row>
    <row r="70" spans="1:13" x14ac:dyDescent="0.25">
      <c r="A70" t="s">
        <v>112</v>
      </c>
      <c r="B70" t="s">
        <v>77</v>
      </c>
      <c r="C70" t="s">
        <v>42</v>
      </c>
      <c r="D70" s="2" t="s">
        <v>72</v>
      </c>
      <c r="E70" s="3">
        <v>44402</v>
      </c>
      <c r="F70" s="4">
        <v>82260</v>
      </c>
      <c r="G70">
        <v>36</v>
      </c>
      <c r="H70" t="s">
        <v>36</v>
      </c>
      <c r="I70" t="str">
        <f>VLOOKUP(EMPLOYEE[[#This Row],[Dept Code]],Lookup_Departments!$A$1:$B$7,2,FALSE)</f>
        <v>Human Resources</v>
      </c>
      <c r="J70" t="str">
        <f>CONCATENATE(EMPLOYEE[[#This Row],[First_Name]]," "," ",EMPLOYEE[[#This Row],[Last_Name]])</f>
        <v>Melissa  Williams</v>
      </c>
      <c r="K70" s="13">
        <f ca="1">DATEDIF(EMPLOYEE[[#This Row],[Hire Date]],TODAY(),"Y")</f>
        <v>4</v>
      </c>
      <c r="L70" t="str">
        <f>IF(EMPLOYEE[[#This Row],[Perf_Score]]&gt;=95,"Outstanding",IF(EMPLOYEE[[#This Row],[Perf_Score]]&gt;=85,"Exceeding",IF(EMPLOYEE[[#This Row],[Perf_Score]]&gt;=70,"Achieving",IF(EMPLOYEE[[#This Row],[Perf_Score]]&gt;=50,"Developing",IF(EMPLOYEE[[#This Row],[Perf_Score]]&gt;=0,"Needs Improvement","NA")))))</f>
        <v>Needs Improvement</v>
      </c>
      <c r="M70" s="18">
        <f>IF(EMPLOYEE[[#This Row],[Perf_Score]]&gt;=95,0.12,IF(EMPLOYEE[[#This Row],[Perf_Score]]&gt;=85,0.08,IF(EMPLOYEE[[#This Row],[Perf_Score]]&gt;=70,0.05,IF(EMPLOYEE[[#This Row],[Perf_Score]]&gt;=50,0.02,IF(EMPLOYEE[[#This Row],[Perf_Score]]&gt;=0,0,"NA")))))</f>
        <v>0</v>
      </c>
    </row>
    <row r="71" spans="1:13" x14ac:dyDescent="0.25">
      <c r="A71" t="s">
        <v>113</v>
      </c>
      <c r="B71" t="s">
        <v>45</v>
      </c>
      <c r="C71" t="s">
        <v>38</v>
      </c>
      <c r="D71" s="2" t="s">
        <v>72</v>
      </c>
      <c r="E71" s="3">
        <v>43008</v>
      </c>
      <c r="F71" s="4">
        <v>55270</v>
      </c>
      <c r="G71">
        <v>87</v>
      </c>
      <c r="H71" t="s">
        <v>36</v>
      </c>
      <c r="I71" t="str">
        <f>VLOOKUP(EMPLOYEE[[#This Row],[Dept Code]],Lookup_Departments!$A$1:$B$7,2,FALSE)</f>
        <v>Human Resources</v>
      </c>
      <c r="J71" t="str">
        <f>CONCATENATE(EMPLOYEE[[#This Row],[First_Name]]," "," ",EMPLOYEE[[#This Row],[Last_Name]])</f>
        <v>Robert  Miller</v>
      </c>
      <c r="K71" s="13">
        <f ca="1">DATEDIF(EMPLOYEE[[#This Row],[Hire Date]],TODAY(),"Y")</f>
        <v>8</v>
      </c>
      <c r="L71" t="str">
        <f>IF(EMPLOYEE[[#This Row],[Perf_Score]]&gt;=95,"Outstanding",IF(EMPLOYEE[[#This Row],[Perf_Score]]&gt;=85,"Exceeding",IF(EMPLOYEE[[#This Row],[Perf_Score]]&gt;=70,"Achieving",IF(EMPLOYEE[[#This Row],[Perf_Score]]&gt;=50,"Developing",IF(EMPLOYEE[[#This Row],[Perf_Score]]&gt;=0,"Needs Improvement","NA")))))</f>
        <v>Exceeding</v>
      </c>
      <c r="M71" s="18">
        <f>IF(EMPLOYEE[[#This Row],[Perf_Score]]&gt;=95,0.12,IF(EMPLOYEE[[#This Row],[Perf_Score]]&gt;=85,0.08,IF(EMPLOYEE[[#This Row],[Perf_Score]]&gt;=70,0.05,IF(EMPLOYEE[[#This Row],[Perf_Score]]&gt;=50,0.02,IF(EMPLOYEE[[#This Row],[Perf_Score]]&gt;=0,0,"NA")))))</f>
        <v>0.08</v>
      </c>
    </row>
    <row r="72" spans="1:13" x14ac:dyDescent="0.25">
      <c r="A72" t="s">
        <v>114</v>
      </c>
      <c r="B72" t="s">
        <v>115</v>
      </c>
      <c r="C72" t="s">
        <v>97</v>
      </c>
      <c r="D72" s="2" t="s">
        <v>35</v>
      </c>
      <c r="E72" s="3">
        <v>42192</v>
      </c>
      <c r="F72" s="4">
        <v>65235</v>
      </c>
      <c r="G72">
        <v>97</v>
      </c>
      <c r="H72" t="s">
        <v>36</v>
      </c>
      <c r="I72" t="str">
        <f>VLOOKUP(EMPLOYEE[[#This Row],[Dept Code]],Lookup_Departments!$A$1:$B$7,2,FALSE)</f>
        <v>Sales</v>
      </c>
      <c r="J72" t="str">
        <f>CONCATENATE(EMPLOYEE[[#This Row],[First_Name]]," "," ",EMPLOYEE[[#This Row],[Last_Name]])</f>
        <v>William  Garcia</v>
      </c>
      <c r="K72" s="13">
        <f ca="1">DATEDIF(EMPLOYEE[[#This Row],[Hire Date]],TODAY(),"Y")</f>
        <v>11</v>
      </c>
      <c r="L72" t="str">
        <f>IF(EMPLOYEE[[#This Row],[Perf_Score]]&gt;=95,"Outstanding",IF(EMPLOYEE[[#This Row],[Perf_Score]]&gt;=85,"Exceeding",IF(EMPLOYEE[[#This Row],[Perf_Score]]&gt;=70,"Achieving",IF(EMPLOYEE[[#This Row],[Perf_Score]]&gt;=50,"Developing",IF(EMPLOYEE[[#This Row],[Perf_Score]]&gt;=0,"Needs Improvement","NA")))))</f>
        <v>Outstanding</v>
      </c>
      <c r="M72" s="18">
        <f>IF(EMPLOYEE[[#This Row],[Perf_Score]]&gt;=95,0.12,IF(EMPLOYEE[[#This Row],[Perf_Score]]&gt;=85,0.08,IF(EMPLOYEE[[#This Row],[Perf_Score]]&gt;=70,0.05,IF(EMPLOYEE[[#This Row],[Perf_Score]]&gt;=50,0.02,IF(EMPLOYEE[[#This Row],[Perf_Score]]&gt;=0,0,"NA")))))</f>
        <v>0.12</v>
      </c>
    </row>
    <row r="73" spans="1:13" x14ac:dyDescent="0.25">
      <c r="A73" t="s">
        <v>116</v>
      </c>
      <c r="B73" t="s">
        <v>17</v>
      </c>
      <c r="C73" t="s">
        <v>15</v>
      </c>
      <c r="D73" s="2" t="s">
        <v>35</v>
      </c>
      <c r="E73" s="3">
        <v>43283</v>
      </c>
      <c r="F73" s="4">
        <v>83135</v>
      </c>
      <c r="G73">
        <v>72</v>
      </c>
      <c r="H73" t="s">
        <v>23</v>
      </c>
      <c r="I73" t="str">
        <f>VLOOKUP(EMPLOYEE[[#This Row],[Dept Code]],Lookup_Departments!$A$1:$B$7,2,FALSE)</f>
        <v>Sales</v>
      </c>
      <c r="J73" t="str">
        <f>CONCATENATE(EMPLOYEE[[#This Row],[First_Name]]," "," ",EMPLOYEE[[#This Row],[Last_Name]])</f>
        <v>John  Gonzalez</v>
      </c>
      <c r="K73" s="13">
        <f ca="1">DATEDIF(EMPLOYEE[[#This Row],[Hire Date]],TODAY(),"Y")</f>
        <v>8</v>
      </c>
      <c r="L73" t="str">
        <f>IF(EMPLOYEE[[#This Row],[Perf_Score]]&gt;=95,"Outstanding",IF(EMPLOYEE[[#This Row],[Perf_Score]]&gt;=85,"Exceeding",IF(EMPLOYEE[[#This Row],[Perf_Score]]&gt;=70,"Achieving",IF(EMPLOYEE[[#This Row],[Perf_Score]]&gt;=50,"Developing",IF(EMPLOYEE[[#This Row],[Perf_Score]]&gt;=0,"Needs Improvement","NA")))))</f>
        <v>Achieving</v>
      </c>
      <c r="M73" s="18">
        <f>IF(EMPLOYEE[[#This Row],[Perf_Score]]&gt;=95,0.12,IF(EMPLOYEE[[#This Row],[Perf_Score]]&gt;=85,0.08,IF(EMPLOYEE[[#This Row],[Perf_Score]]&gt;=70,0.05,IF(EMPLOYEE[[#This Row],[Perf_Score]]&gt;=50,0.02,IF(EMPLOYEE[[#This Row],[Perf_Score]]&gt;=0,0,"NA")))))</f>
        <v>0.05</v>
      </c>
    </row>
    <row r="74" spans="1:13" x14ac:dyDescent="0.25">
      <c r="A74" t="s">
        <v>117</v>
      </c>
      <c r="B74" t="s">
        <v>51</v>
      </c>
      <c r="C74" t="s">
        <v>15</v>
      </c>
      <c r="D74" s="2" t="s">
        <v>35</v>
      </c>
      <c r="E74" s="3">
        <v>44819</v>
      </c>
      <c r="F74" s="4">
        <v>83135</v>
      </c>
      <c r="G74">
        <v>65</v>
      </c>
      <c r="H74" t="s">
        <v>23</v>
      </c>
      <c r="I74" t="str">
        <f>VLOOKUP(EMPLOYEE[[#This Row],[Dept Code]],Lookup_Departments!$A$1:$B$7,2,FALSE)</f>
        <v>Sales</v>
      </c>
      <c r="J74" t="str">
        <f>CONCATENATE(EMPLOYEE[[#This Row],[First_Name]]," "," ",EMPLOYEE[[#This Row],[Last_Name]])</f>
        <v>James  Gonzalez</v>
      </c>
      <c r="K74" s="13">
        <f ca="1">DATEDIF(EMPLOYEE[[#This Row],[Hire Date]],TODAY(),"Y")</f>
        <v>3</v>
      </c>
      <c r="L74" t="str">
        <f>IF(EMPLOYEE[[#This Row],[Perf_Score]]&gt;=95,"Outstanding",IF(EMPLOYEE[[#This Row],[Perf_Score]]&gt;=85,"Exceeding",IF(EMPLOYEE[[#This Row],[Perf_Score]]&gt;=70,"Achieving",IF(EMPLOYEE[[#This Row],[Perf_Score]]&gt;=50,"Developing",IF(EMPLOYEE[[#This Row],[Perf_Score]]&gt;=0,"Needs Improvement","NA")))))</f>
        <v>Developing</v>
      </c>
      <c r="M74" s="18">
        <f>IF(EMPLOYEE[[#This Row],[Perf_Score]]&gt;=95,0.12,IF(EMPLOYEE[[#This Row],[Perf_Score]]&gt;=85,0.08,IF(EMPLOYEE[[#This Row],[Perf_Score]]&gt;=70,0.05,IF(EMPLOYEE[[#This Row],[Perf_Score]]&gt;=50,0.02,IF(EMPLOYEE[[#This Row],[Perf_Score]]&gt;=0,0,"NA")))))</f>
        <v>0.02</v>
      </c>
    </row>
    <row r="75" spans="1:13" x14ac:dyDescent="0.25">
      <c r="A75" t="s">
        <v>118</v>
      </c>
      <c r="B75" t="s">
        <v>41</v>
      </c>
      <c r="C75" t="s">
        <v>15</v>
      </c>
      <c r="D75" s="2" t="s">
        <v>35</v>
      </c>
      <c r="E75" s="3">
        <v>42249</v>
      </c>
      <c r="F75" s="4">
        <v>83135</v>
      </c>
      <c r="G75">
        <v>67</v>
      </c>
      <c r="H75" t="s">
        <v>36</v>
      </c>
      <c r="I75" t="str">
        <f>VLOOKUP(EMPLOYEE[[#This Row],[Dept Code]],Lookup_Departments!$A$1:$B$7,2,FALSE)</f>
        <v>Sales</v>
      </c>
      <c r="J75" t="str">
        <f>CONCATENATE(EMPLOYEE[[#This Row],[First_Name]]," "," ",EMPLOYEE[[#This Row],[Last_Name]])</f>
        <v>Jane  Gonzalez</v>
      </c>
      <c r="K75" s="13">
        <f ca="1">DATEDIF(EMPLOYEE[[#This Row],[Hire Date]],TODAY(),"Y")</f>
        <v>10</v>
      </c>
      <c r="L75" t="str">
        <f>IF(EMPLOYEE[[#This Row],[Perf_Score]]&gt;=95,"Outstanding",IF(EMPLOYEE[[#This Row],[Perf_Score]]&gt;=85,"Exceeding",IF(EMPLOYEE[[#This Row],[Perf_Score]]&gt;=70,"Achieving",IF(EMPLOYEE[[#This Row],[Perf_Score]]&gt;=50,"Developing",IF(EMPLOYEE[[#This Row],[Perf_Score]]&gt;=0,"Needs Improvement","NA")))))</f>
        <v>Developing</v>
      </c>
      <c r="M75" s="18">
        <f>IF(EMPLOYEE[[#This Row],[Perf_Score]]&gt;=95,0.12,IF(EMPLOYEE[[#This Row],[Perf_Score]]&gt;=85,0.08,IF(EMPLOYEE[[#This Row],[Perf_Score]]&gt;=70,0.05,IF(EMPLOYEE[[#This Row],[Perf_Score]]&gt;=50,0.02,IF(EMPLOYEE[[#This Row],[Perf_Score]]&gt;=0,0,"NA")))))</f>
        <v>0.02</v>
      </c>
    </row>
    <row r="76" spans="1:13" x14ac:dyDescent="0.25">
      <c r="A76" t="s">
        <v>119</v>
      </c>
      <c r="B76" t="s">
        <v>82</v>
      </c>
      <c r="C76" t="s">
        <v>28</v>
      </c>
      <c r="D76" s="2" t="s">
        <v>26</v>
      </c>
      <c r="E76" s="3">
        <v>42654</v>
      </c>
      <c r="F76" s="4">
        <v>48823</v>
      </c>
      <c r="G76">
        <v>34</v>
      </c>
      <c r="H76" t="s">
        <v>36</v>
      </c>
      <c r="I76" t="str">
        <f>VLOOKUP(EMPLOYEE[[#This Row],[Dept Code]],Lookup_Departments!$A$1:$B$7,2,FALSE)</f>
        <v>Operations</v>
      </c>
      <c r="J76" t="str">
        <f>CONCATENATE(EMPLOYEE[[#This Row],[First_Name]]," "," ",EMPLOYEE[[#This Row],[Last_Name]])</f>
        <v>David  Wilson</v>
      </c>
      <c r="K76" s="13">
        <f ca="1">DATEDIF(EMPLOYEE[[#This Row],[Hire Date]],TODAY(),"Y")</f>
        <v>9</v>
      </c>
      <c r="L76" t="str">
        <f>IF(EMPLOYEE[[#This Row],[Perf_Score]]&gt;=95,"Outstanding",IF(EMPLOYEE[[#This Row],[Perf_Score]]&gt;=85,"Exceeding",IF(EMPLOYEE[[#This Row],[Perf_Score]]&gt;=70,"Achieving",IF(EMPLOYEE[[#This Row],[Perf_Score]]&gt;=50,"Developing",IF(EMPLOYEE[[#This Row],[Perf_Score]]&gt;=0,"Needs Improvement","NA")))))</f>
        <v>Needs Improvement</v>
      </c>
      <c r="M76" s="18">
        <f>IF(EMPLOYEE[[#This Row],[Perf_Score]]&gt;=95,0.12,IF(EMPLOYEE[[#This Row],[Perf_Score]]&gt;=85,0.08,IF(EMPLOYEE[[#This Row],[Perf_Score]]&gt;=70,0.05,IF(EMPLOYEE[[#This Row],[Perf_Score]]&gt;=50,0.02,IF(EMPLOYEE[[#This Row],[Perf_Score]]&gt;=0,0,"NA")))))</f>
        <v>0</v>
      </c>
    </row>
    <row r="77" spans="1:13" x14ac:dyDescent="0.25">
      <c r="A77" t="s">
        <v>120</v>
      </c>
      <c r="B77" t="s">
        <v>41</v>
      </c>
      <c r="C77" t="s">
        <v>15</v>
      </c>
      <c r="D77" s="2" t="s">
        <v>19</v>
      </c>
      <c r="E77" s="3">
        <v>43575</v>
      </c>
      <c r="F77" s="4">
        <v>45196</v>
      </c>
      <c r="G77">
        <v>78</v>
      </c>
      <c r="H77" t="s">
        <v>23</v>
      </c>
      <c r="I77" t="str">
        <f>VLOOKUP(EMPLOYEE[[#This Row],[Dept Code]],Lookup_Departments!$A$1:$B$7,2,FALSE)</f>
        <v>Finance</v>
      </c>
      <c r="J77" t="str">
        <f>CONCATENATE(EMPLOYEE[[#This Row],[First_Name]]," "," ",EMPLOYEE[[#This Row],[Last_Name]])</f>
        <v>Jane  Gonzalez</v>
      </c>
      <c r="K77" s="13">
        <f ca="1">DATEDIF(EMPLOYEE[[#This Row],[Hire Date]],TODAY(),"Y")</f>
        <v>7</v>
      </c>
      <c r="L77" t="str">
        <f>IF(EMPLOYEE[[#This Row],[Perf_Score]]&gt;=95,"Outstanding",IF(EMPLOYEE[[#This Row],[Perf_Score]]&gt;=85,"Exceeding",IF(EMPLOYEE[[#This Row],[Perf_Score]]&gt;=70,"Achieving",IF(EMPLOYEE[[#This Row],[Perf_Score]]&gt;=50,"Developing",IF(EMPLOYEE[[#This Row],[Perf_Score]]&gt;=0,"Needs Improvement","NA")))))</f>
        <v>Achieving</v>
      </c>
      <c r="M77" s="18">
        <f>IF(EMPLOYEE[[#This Row],[Perf_Score]]&gt;=95,0.12,IF(EMPLOYEE[[#This Row],[Perf_Score]]&gt;=85,0.08,IF(EMPLOYEE[[#This Row],[Perf_Score]]&gt;=70,0.05,IF(EMPLOYEE[[#This Row],[Perf_Score]]&gt;=50,0.02,IF(EMPLOYEE[[#This Row],[Perf_Score]]&gt;=0,0,"NA")))))</f>
        <v>0.05</v>
      </c>
    </row>
    <row r="78" spans="1:13" x14ac:dyDescent="0.25">
      <c r="A78" t="s">
        <v>121</v>
      </c>
      <c r="B78" t="s">
        <v>41</v>
      </c>
      <c r="C78" t="s">
        <v>32</v>
      </c>
      <c r="D78" s="2" t="s">
        <v>9</v>
      </c>
      <c r="E78" s="3">
        <v>42785</v>
      </c>
      <c r="F78" s="4">
        <v>86246</v>
      </c>
      <c r="G78">
        <v>61</v>
      </c>
      <c r="H78" t="s">
        <v>36</v>
      </c>
      <c r="I78" t="str">
        <f>VLOOKUP(EMPLOYEE[[#This Row],[Dept Code]],Lookup_Departments!$A$1:$B$7,2,FALSE)</f>
        <v>Information Technology</v>
      </c>
      <c r="J78" t="str">
        <f>CONCATENATE(EMPLOYEE[[#This Row],[First_Name]]," "," ",EMPLOYEE[[#This Row],[Last_Name]])</f>
        <v>Jane  Rodriguez</v>
      </c>
      <c r="K78" s="13">
        <f ca="1">DATEDIF(EMPLOYEE[[#This Row],[Hire Date]],TODAY(),"Y")</f>
        <v>9</v>
      </c>
      <c r="L78" t="str">
        <f>IF(EMPLOYEE[[#This Row],[Perf_Score]]&gt;=95,"Outstanding",IF(EMPLOYEE[[#This Row],[Perf_Score]]&gt;=85,"Exceeding",IF(EMPLOYEE[[#This Row],[Perf_Score]]&gt;=70,"Achieving",IF(EMPLOYEE[[#This Row],[Perf_Score]]&gt;=50,"Developing",IF(EMPLOYEE[[#This Row],[Perf_Score]]&gt;=0,"Needs Improvement","NA")))))</f>
        <v>Developing</v>
      </c>
      <c r="M78" s="18">
        <f>IF(EMPLOYEE[[#This Row],[Perf_Score]]&gt;=95,0.12,IF(EMPLOYEE[[#This Row],[Perf_Score]]&gt;=85,0.08,IF(EMPLOYEE[[#This Row],[Perf_Score]]&gt;=70,0.05,IF(EMPLOYEE[[#This Row],[Perf_Score]]&gt;=50,0.02,IF(EMPLOYEE[[#This Row],[Perf_Score]]&gt;=0,0,"NA")))))</f>
        <v>0.02</v>
      </c>
    </row>
    <row r="79" spans="1:13" x14ac:dyDescent="0.25">
      <c r="A79" t="s">
        <v>122</v>
      </c>
      <c r="B79" t="s">
        <v>7</v>
      </c>
      <c r="C79" t="s">
        <v>38</v>
      </c>
      <c r="D79" s="2" t="s">
        <v>35</v>
      </c>
      <c r="E79" s="3">
        <v>44446</v>
      </c>
      <c r="F79" s="4">
        <v>70359</v>
      </c>
      <c r="G79">
        <v>74</v>
      </c>
      <c r="H79" t="s">
        <v>23</v>
      </c>
      <c r="I79" t="str">
        <f>VLOOKUP(EMPLOYEE[[#This Row],[Dept Code]],Lookup_Departments!$A$1:$B$7,2,FALSE)</f>
        <v>Sales</v>
      </c>
      <c r="J79" t="str">
        <f>CONCATENATE(EMPLOYEE[[#This Row],[First_Name]]," "," ",EMPLOYEE[[#This Row],[Last_Name]])</f>
        <v>Emily  Miller</v>
      </c>
      <c r="K79" s="13">
        <f ca="1">DATEDIF(EMPLOYEE[[#This Row],[Hire Date]],TODAY(),"Y")</f>
        <v>4</v>
      </c>
      <c r="L79" t="str">
        <f>IF(EMPLOYEE[[#This Row],[Perf_Score]]&gt;=95,"Outstanding",IF(EMPLOYEE[[#This Row],[Perf_Score]]&gt;=85,"Exceeding",IF(EMPLOYEE[[#This Row],[Perf_Score]]&gt;=70,"Achieving",IF(EMPLOYEE[[#This Row],[Perf_Score]]&gt;=50,"Developing",IF(EMPLOYEE[[#This Row],[Perf_Score]]&gt;=0,"Needs Improvement","NA")))))</f>
        <v>Achieving</v>
      </c>
      <c r="M79" s="18">
        <f>IF(EMPLOYEE[[#This Row],[Perf_Score]]&gt;=95,0.12,IF(EMPLOYEE[[#This Row],[Perf_Score]]&gt;=85,0.08,IF(EMPLOYEE[[#This Row],[Perf_Score]]&gt;=70,0.05,IF(EMPLOYEE[[#This Row],[Perf_Score]]&gt;=50,0.02,IF(EMPLOYEE[[#This Row],[Perf_Score]]&gt;=0,0,"NA")))))</f>
        <v>0.05</v>
      </c>
    </row>
    <row r="80" spans="1:13" x14ac:dyDescent="0.25">
      <c r="A80" t="s">
        <v>123</v>
      </c>
      <c r="B80" t="s">
        <v>70</v>
      </c>
      <c r="C80" t="s">
        <v>38</v>
      </c>
      <c r="D80" s="2" t="s">
        <v>13</v>
      </c>
      <c r="E80" s="3">
        <v>43599</v>
      </c>
      <c r="F80" s="4">
        <v>83580</v>
      </c>
      <c r="G80">
        <v>94</v>
      </c>
      <c r="H80" t="s">
        <v>36</v>
      </c>
      <c r="I80" t="str">
        <f>VLOOKUP(EMPLOYEE[[#This Row],[Dept Code]],Lookup_Departments!$A$1:$B$7,2,FALSE)</f>
        <v>Marketing</v>
      </c>
      <c r="J80" t="str">
        <f>CONCATENATE(EMPLOYEE[[#This Row],[First_Name]]," "," ",EMPLOYEE[[#This Row],[Last_Name]])</f>
        <v>Sarah  Miller</v>
      </c>
      <c r="K80" s="13">
        <f ca="1">DATEDIF(EMPLOYEE[[#This Row],[Hire Date]],TODAY(),"Y")</f>
        <v>7</v>
      </c>
      <c r="L80" t="str">
        <f>IF(EMPLOYEE[[#This Row],[Perf_Score]]&gt;=95,"Outstanding",IF(EMPLOYEE[[#This Row],[Perf_Score]]&gt;=85,"Exceeding",IF(EMPLOYEE[[#This Row],[Perf_Score]]&gt;=70,"Achieving",IF(EMPLOYEE[[#This Row],[Perf_Score]]&gt;=50,"Developing",IF(EMPLOYEE[[#This Row],[Perf_Score]]&gt;=0,"Needs Improvement","NA")))))</f>
        <v>Exceeding</v>
      </c>
      <c r="M80" s="18">
        <f>IF(EMPLOYEE[[#This Row],[Perf_Score]]&gt;=95,0.12,IF(EMPLOYEE[[#This Row],[Perf_Score]]&gt;=85,0.08,IF(EMPLOYEE[[#This Row],[Perf_Score]]&gt;=70,0.05,IF(EMPLOYEE[[#This Row],[Perf_Score]]&gt;=50,0.02,IF(EMPLOYEE[[#This Row],[Perf_Score]]&gt;=0,0,"NA")))))</f>
        <v>0.08</v>
      </c>
    </row>
    <row r="81" spans="1:13" x14ac:dyDescent="0.25">
      <c r="A81" t="s">
        <v>124</v>
      </c>
      <c r="B81" t="s">
        <v>30</v>
      </c>
      <c r="C81" t="s">
        <v>97</v>
      </c>
      <c r="D81" s="2" t="s">
        <v>26</v>
      </c>
      <c r="E81" s="3">
        <v>42330</v>
      </c>
      <c r="F81" s="4">
        <v>86480</v>
      </c>
      <c r="G81">
        <v>68</v>
      </c>
      <c r="H81" t="s">
        <v>36</v>
      </c>
      <c r="I81" t="str">
        <f>VLOOKUP(EMPLOYEE[[#This Row],[Dept Code]],Lookup_Departments!$A$1:$B$7,2,FALSE)</f>
        <v>Operations</v>
      </c>
      <c r="J81" t="str">
        <f>CONCATENATE(EMPLOYEE[[#This Row],[First_Name]]," "," ",EMPLOYEE[[#This Row],[Last_Name]])</f>
        <v>Jessica  Garcia</v>
      </c>
      <c r="K81" s="13">
        <f ca="1">DATEDIF(EMPLOYEE[[#This Row],[Hire Date]],TODAY(),"Y")</f>
        <v>10</v>
      </c>
      <c r="L81" t="str">
        <f>IF(EMPLOYEE[[#This Row],[Perf_Score]]&gt;=95,"Outstanding",IF(EMPLOYEE[[#This Row],[Perf_Score]]&gt;=85,"Exceeding",IF(EMPLOYEE[[#This Row],[Perf_Score]]&gt;=70,"Achieving",IF(EMPLOYEE[[#This Row],[Perf_Score]]&gt;=50,"Developing",IF(EMPLOYEE[[#This Row],[Perf_Score]]&gt;=0,"Needs Improvement","NA")))))</f>
        <v>Developing</v>
      </c>
      <c r="M81" s="18">
        <f>IF(EMPLOYEE[[#This Row],[Perf_Score]]&gt;=95,0.12,IF(EMPLOYEE[[#This Row],[Perf_Score]]&gt;=85,0.08,IF(EMPLOYEE[[#This Row],[Perf_Score]]&gt;=70,0.05,IF(EMPLOYEE[[#This Row],[Perf_Score]]&gt;=50,0.02,IF(EMPLOYEE[[#This Row],[Perf_Score]]&gt;=0,0,"NA")))))</f>
        <v>0.02</v>
      </c>
    </row>
    <row r="82" spans="1:13" x14ac:dyDescent="0.25">
      <c r="A82" t="s">
        <v>125</v>
      </c>
      <c r="B82" t="s">
        <v>11</v>
      </c>
      <c r="C82" t="s">
        <v>22</v>
      </c>
      <c r="D82" s="2" t="s">
        <v>72</v>
      </c>
      <c r="E82" s="3">
        <v>43372</v>
      </c>
      <c r="F82" s="4">
        <v>47694</v>
      </c>
      <c r="G82">
        <v>75</v>
      </c>
      <c r="H82" t="s">
        <v>36</v>
      </c>
      <c r="I82" t="str">
        <f>VLOOKUP(EMPLOYEE[[#This Row],[Dept Code]],Lookup_Departments!$A$1:$B$7,2,FALSE)</f>
        <v>Human Resources</v>
      </c>
      <c r="J82" t="str">
        <f>CONCATENATE(EMPLOYEE[[#This Row],[First_Name]]," "," ",EMPLOYEE[[#This Row],[Last_Name]])</f>
        <v>Richard  Smith</v>
      </c>
      <c r="K82" s="13">
        <f ca="1">DATEDIF(EMPLOYEE[[#This Row],[Hire Date]],TODAY(),"Y")</f>
        <v>7</v>
      </c>
      <c r="L82" t="str">
        <f>IF(EMPLOYEE[[#This Row],[Perf_Score]]&gt;=95,"Outstanding",IF(EMPLOYEE[[#This Row],[Perf_Score]]&gt;=85,"Exceeding",IF(EMPLOYEE[[#This Row],[Perf_Score]]&gt;=70,"Achieving",IF(EMPLOYEE[[#This Row],[Perf_Score]]&gt;=50,"Developing",IF(EMPLOYEE[[#This Row],[Perf_Score]]&gt;=0,"Needs Improvement","NA")))))</f>
        <v>Achieving</v>
      </c>
      <c r="M82" s="18">
        <f>IF(EMPLOYEE[[#This Row],[Perf_Score]]&gt;=95,0.12,IF(EMPLOYEE[[#This Row],[Perf_Score]]&gt;=85,0.08,IF(EMPLOYEE[[#This Row],[Perf_Score]]&gt;=70,0.05,IF(EMPLOYEE[[#This Row],[Perf_Score]]&gt;=50,0.02,IF(EMPLOYEE[[#This Row],[Perf_Score]]&gt;=0,0,"NA")))))</f>
        <v>0.05</v>
      </c>
    </row>
    <row r="83" spans="1:13" x14ac:dyDescent="0.25">
      <c r="A83" t="s">
        <v>126</v>
      </c>
      <c r="B83" t="s">
        <v>77</v>
      </c>
      <c r="C83" t="s">
        <v>28</v>
      </c>
      <c r="D83" s="2" t="s">
        <v>9</v>
      </c>
      <c r="E83" s="3">
        <v>45171</v>
      </c>
      <c r="F83" s="4">
        <v>83724</v>
      </c>
      <c r="G83">
        <v>81</v>
      </c>
      <c r="H83" t="s">
        <v>84</v>
      </c>
      <c r="I83" t="str">
        <f>VLOOKUP(EMPLOYEE[[#This Row],[Dept Code]],Lookup_Departments!$A$1:$B$7,2,FALSE)</f>
        <v>Information Technology</v>
      </c>
      <c r="J83" t="str">
        <f>CONCATENATE(EMPLOYEE[[#This Row],[First_Name]]," "," ",EMPLOYEE[[#This Row],[Last_Name]])</f>
        <v>Melissa  Wilson</v>
      </c>
      <c r="K83" s="13">
        <f ca="1">DATEDIF(EMPLOYEE[[#This Row],[Hire Date]],TODAY(),"Y")</f>
        <v>2</v>
      </c>
      <c r="L83" t="str">
        <f>IF(EMPLOYEE[[#This Row],[Perf_Score]]&gt;=95,"Outstanding",IF(EMPLOYEE[[#This Row],[Perf_Score]]&gt;=85,"Exceeding",IF(EMPLOYEE[[#This Row],[Perf_Score]]&gt;=70,"Achieving",IF(EMPLOYEE[[#This Row],[Perf_Score]]&gt;=50,"Developing",IF(EMPLOYEE[[#This Row],[Perf_Score]]&gt;=0,"Needs Improvement","NA")))))</f>
        <v>Achieving</v>
      </c>
      <c r="M83" s="18">
        <f>IF(EMPLOYEE[[#This Row],[Perf_Score]]&gt;=95,0.12,IF(EMPLOYEE[[#This Row],[Perf_Score]]&gt;=85,0.08,IF(EMPLOYEE[[#This Row],[Perf_Score]]&gt;=70,0.05,IF(EMPLOYEE[[#This Row],[Perf_Score]]&gt;=50,0.02,IF(EMPLOYEE[[#This Row],[Perf_Score]]&gt;=0,0,"NA")))))</f>
        <v>0.05</v>
      </c>
    </row>
    <row r="84" spans="1:13" x14ac:dyDescent="0.25">
      <c r="A84" t="s">
        <v>127</v>
      </c>
      <c r="B84" t="s">
        <v>21</v>
      </c>
      <c r="C84" t="s">
        <v>42</v>
      </c>
      <c r="D84" s="2" t="s">
        <v>19</v>
      </c>
      <c r="E84" s="3">
        <v>44759</v>
      </c>
      <c r="F84" s="4">
        <v>98299</v>
      </c>
      <c r="G84">
        <v>61</v>
      </c>
      <c r="H84" t="s">
        <v>36</v>
      </c>
      <c r="I84" t="str">
        <f>VLOOKUP(EMPLOYEE[[#This Row],[Dept Code]],Lookup_Departments!$A$1:$B$7,2,FALSE)</f>
        <v>Finance</v>
      </c>
      <c r="J84" t="str">
        <f>CONCATENATE(EMPLOYEE[[#This Row],[First_Name]]," "," ",EMPLOYEE[[#This Row],[Last_Name]])</f>
        <v>Thomas  Williams</v>
      </c>
      <c r="K84" s="13">
        <f ca="1">DATEDIF(EMPLOYEE[[#This Row],[Hire Date]],TODAY(),"Y")</f>
        <v>4</v>
      </c>
      <c r="L84" t="str">
        <f>IF(EMPLOYEE[[#This Row],[Perf_Score]]&gt;=95,"Outstanding",IF(EMPLOYEE[[#This Row],[Perf_Score]]&gt;=85,"Exceeding",IF(EMPLOYEE[[#This Row],[Perf_Score]]&gt;=70,"Achieving",IF(EMPLOYEE[[#This Row],[Perf_Score]]&gt;=50,"Developing",IF(EMPLOYEE[[#This Row],[Perf_Score]]&gt;=0,"Needs Improvement","NA")))))</f>
        <v>Developing</v>
      </c>
      <c r="M84" s="18">
        <f>IF(EMPLOYEE[[#This Row],[Perf_Score]]&gt;=95,0.12,IF(EMPLOYEE[[#This Row],[Perf_Score]]&gt;=85,0.08,IF(EMPLOYEE[[#This Row],[Perf_Score]]&gt;=70,0.05,IF(EMPLOYEE[[#This Row],[Perf_Score]]&gt;=50,0.02,IF(EMPLOYEE[[#This Row],[Perf_Score]]&gt;=0,0,"NA")))))</f>
        <v>0.02</v>
      </c>
    </row>
    <row r="85" spans="1:13" x14ac:dyDescent="0.25">
      <c r="A85" t="s">
        <v>128</v>
      </c>
      <c r="B85" t="s">
        <v>82</v>
      </c>
      <c r="C85" t="s">
        <v>42</v>
      </c>
      <c r="D85" s="2" t="s">
        <v>19</v>
      </c>
      <c r="E85" s="3">
        <v>44234</v>
      </c>
      <c r="F85" s="4">
        <v>83500</v>
      </c>
      <c r="G85">
        <v>68</v>
      </c>
      <c r="H85" t="s">
        <v>36</v>
      </c>
      <c r="I85" t="str">
        <f>VLOOKUP(EMPLOYEE[[#This Row],[Dept Code]],Lookup_Departments!$A$1:$B$7,2,FALSE)</f>
        <v>Finance</v>
      </c>
      <c r="J85" t="str">
        <f>CONCATENATE(EMPLOYEE[[#This Row],[First_Name]]," "," ",EMPLOYEE[[#This Row],[Last_Name]])</f>
        <v>David  Williams</v>
      </c>
      <c r="K85" s="13">
        <f ca="1">DATEDIF(EMPLOYEE[[#This Row],[Hire Date]],TODAY(),"Y")</f>
        <v>5</v>
      </c>
      <c r="L85" t="str">
        <f>IF(EMPLOYEE[[#This Row],[Perf_Score]]&gt;=95,"Outstanding",IF(EMPLOYEE[[#This Row],[Perf_Score]]&gt;=85,"Exceeding",IF(EMPLOYEE[[#This Row],[Perf_Score]]&gt;=70,"Achieving",IF(EMPLOYEE[[#This Row],[Perf_Score]]&gt;=50,"Developing",IF(EMPLOYEE[[#This Row],[Perf_Score]]&gt;=0,"Needs Improvement","NA")))))</f>
        <v>Developing</v>
      </c>
      <c r="M85" s="18">
        <f>IF(EMPLOYEE[[#This Row],[Perf_Score]]&gt;=95,0.12,IF(EMPLOYEE[[#This Row],[Perf_Score]]&gt;=85,0.08,IF(EMPLOYEE[[#This Row],[Perf_Score]]&gt;=70,0.05,IF(EMPLOYEE[[#This Row],[Perf_Score]]&gt;=50,0.02,IF(EMPLOYEE[[#This Row],[Perf_Score]]&gt;=0,0,"NA")))))</f>
        <v>0.02</v>
      </c>
    </row>
    <row r="86" spans="1:13" x14ac:dyDescent="0.25">
      <c r="A86" t="s">
        <v>129</v>
      </c>
      <c r="B86" t="s">
        <v>17</v>
      </c>
      <c r="C86" t="s">
        <v>25</v>
      </c>
      <c r="D86" s="2" t="s">
        <v>9</v>
      </c>
      <c r="E86" s="3">
        <v>45203</v>
      </c>
      <c r="F86" s="4">
        <v>52287</v>
      </c>
      <c r="G86">
        <v>70</v>
      </c>
      <c r="H86" t="s">
        <v>36</v>
      </c>
      <c r="I86" t="str">
        <f>VLOOKUP(EMPLOYEE[[#This Row],[Dept Code]],Lookup_Departments!$A$1:$B$7,2,FALSE)</f>
        <v>Information Technology</v>
      </c>
      <c r="J86" t="str">
        <f>CONCATENATE(EMPLOYEE[[#This Row],[First_Name]]," "," ",EMPLOYEE[[#This Row],[Last_Name]])</f>
        <v>John  Johnson</v>
      </c>
      <c r="K86" s="13">
        <f ca="1">DATEDIF(EMPLOYEE[[#This Row],[Hire Date]],TODAY(),"Y")</f>
        <v>2</v>
      </c>
      <c r="L86" t="str">
        <f>IF(EMPLOYEE[[#This Row],[Perf_Score]]&gt;=95,"Outstanding",IF(EMPLOYEE[[#This Row],[Perf_Score]]&gt;=85,"Exceeding",IF(EMPLOYEE[[#This Row],[Perf_Score]]&gt;=70,"Achieving",IF(EMPLOYEE[[#This Row],[Perf_Score]]&gt;=50,"Developing",IF(EMPLOYEE[[#This Row],[Perf_Score]]&gt;=0,"Needs Improvement","NA")))))</f>
        <v>Achieving</v>
      </c>
      <c r="M86" s="18">
        <f>IF(EMPLOYEE[[#This Row],[Perf_Score]]&gt;=95,0.12,IF(EMPLOYEE[[#This Row],[Perf_Score]]&gt;=85,0.08,IF(EMPLOYEE[[#This Row],[Perf_Score]]&gt;=70,0.05,IF(EMPLOYEE[[#This Row],[Perf_Score]]&gt;=50,0.02,IF(EMPLOYEE[[#This Row],[Perf_Score]]&gt;=0,0,"NA")))))</f>
        <v>0.05</v>
      </c>
    </row>
    <row r="87" spans="1:13" x14ac:dyDescent="0.25">
      <c r="A87" t="s">
        <v>130</v>
      </c>
      <c r="B87" t="s">
        <v>11</v>
      </c>
      <c r="C87" t="s">
        <v>15</v>
      </c>
      <c r="D87" s="2" t="s">
        <v>9</v>
      </c>
      <c r="E87" s="3">
        <v>44073</v>
      </c>
      <c r="F87" s="4">
        <v>82633</v>
      </c>
      <c r="G87">
        <v>98</v>
      </c>
      <c r="H87" t="s">
        <v>36</v>
      </c>
      <c r="I87" t="str">
        <f>VLOOKUP(EMPLOYEE[[#This Row],[Dept Code]],Lookup_Departments!$A$1:$B$7,2,FALSE)</f>
        <v>Information Technology</v>
      </c>
      <c r="J87" t="str">
        <f>CONCATENATE(EMPLOYEE[[#This Row],[First_Name]]," "," ",EMPLOYEE[[#This Row],[Last_Name]])</f>
        <v>Richard  Gonzalez</v>
      </c>
      <c r="K87" s="13">
        <f ca="1">DATEDIF(EMPLOYEE[[#This Row],[Hire Date]],TODAY(),"Y")</f>
        <v>5</v>
      </c>
      <c r="L87" t="str">
        <f>IF(EMPLOYEE[[#This Row],[Perf_Score]]&gt;=95,"Outstanding",IF(EMPLOYEE[[#This Row],[Perf_Score]]&gt;=85,"Exceeding",IF(EMPLOYEE[[#This Row],[Perf_Score]]&gt;=70,"Achieving",IF(EMPLOYEE[[#This Row],[Perf_Score]]&gt;=50,"Developing",IF(EMPLOYEE[[#This Row],[Perf_Score]]&gt;=0,"Needs Improvement","NA")))))</f>
        <v>Outstanding</v>
      </c>
      <c r="M87" s="18">
        <f>IF(EMPLOYEE[[#This Row],[Perf_Score]]&gt;=95,0.12,IF(EMPLOYEE[[#This Row],[Perf_Score]]&gt;=85,0.08,IF(EMPLOYEE[[#This Row],[Perf_Score]]&gt;=70,0.05,IF(EMPLOYEE[[#This Row],[Perf_Score]]&gt;=50,0.02,IF(EMPLOYEE[[#This Row],[Perf_Score]]&gt;=0,0,"NA")))))</f>
        <v>0.12</v>
      </c>
    </row>
    <row r="88" spans="1:13" x14ac:dyDescent="0.25">
      <c r="A88" t="s">
        <v>131</v>
      </c>
      <c r="B88" t="s">
        <v>77</v>
      </c>
      <c r="C88" t="s">
        <v>99</v>
      </c>
      <c r="D88" s="2" t="s">
        <v>26</v>
      </c>
      <c r="E88" s="3">
        <v>44422</v>
      </c>
      <c r="F88" s="4">
        <v>46508</v>
      </c>
      <c r="G88">
        <v>34</v>
      </c>
      <c r="H88" t="s">
        <v>36</v>
      </c>
      <c r="I88" t="str">
        <f>VLOOKUP(EMPLOYEE[[#This Row],[Dept Code]],Lookup_Departments!$A$1:$B$7,2,FALSE)</f>
        <v>Operations</v>
      </c>
      <c r="J88" t="str">
        <f>CONCATENATE(EMPLOYEE[[#This Row],[First_Name]]," "," ",EMPLOYEE[[#This Row],[Last_Name]])</f>
        <v>Melissa  Anderson</v>
      </c>
      <c r="K88" s="13">
        <f ca="1">DATEDIF(EMPLOYEE[[#This Row],[Hire Date]],TODAY(),"Y")</f>
        <v>4</v>
      </c>
      <c r="L88" t="str">
        <f>IF(EMPLOYEE[[#This Row],[Perf_Score]]&gt;=95,"Outstanding",IF(EMPLOYEE[[#This Row],[Perf_Score]]&gt;=85,"Exceeding",IF(EMPLOYEE[[#This Row],[Perf_Score]]&gt;=70,"Achieving",IF(EMPLOYEE[[#This Row],[Perf_Score]]&gt;=50,"Developing",IF(EMPLOYEE[[#This Row],[Perf_Score]]&gt;=0,"Needs Improvement","NA")))))</f>
        <v>Needs Improvement</v>
      </c>
      <c r="M88" s="18">
        <f>IF(EMPLOYEE[[#This Row],[Perf_Score]]&gt;=95,0.12,IF(EMPLOYEE[[#This Row],[Perf_Score]]&gt;=85,0.08,IF(EMPLOYEE[[#This Row],[Perf_Score]]&gt;=70,0.05,IF(EMPLOYEE[[#This Row],[Perf_Score]]&gt;=50,0.02,IF(EMPLOYEE[[#This Row],[Perf_Score]]&gt;=0,0,"NA")))))</f>
        <v>0</v>
      </c>
    </row>
    <row r="89" spans="1:13" x14ac:dyDescent="0.25">
      <c r="A89" t="s">
        <v>132</v>
      </c>
      <c r="B89" t="s">
        <v>7</v>
      </c>
      <c r="C89" t="s">
        <v>15</v>
      </c>
      <c r="D89" s="2" t="s">
        <v>72</v>
      </c>
      <c r="E89" s="3">
        <v>43796</v>
      </c>
      <c r="F89" s="4">
        <v>86232</v>
      </c>
      <c r="G89">
        <v>93</v>
      </c>
      <c r="H89" t="s">
        <v>36</v>
      </c>
      <c r="I89" t="str">
        <f>VLOOKUP(EMPLOYEE[[#This Row],[Dept Code]],Lookup_Departments!$A$1:$B$7,2,FALSE)</f>
        <v>Human Resources</v>
      </c>
      <c r="J89" t="str">
        <f>CONCATENATE(EMPLOYEE[[#This Row],[First_Name]]," "," ",EMPLOYEE[[#This Row],[Last_Name]])</f>
        <v>Emily  Gonzalez</v>
      </c>
      <c r="K89" s="13">
        <f ca="1">DATEDIF(EMPLOYEE[[#This Row],[Hire Date]],TODAY(),"Y")</f>
        <v>6</v>
      </c>
      <c r="L89" t="str">
        <f>IF(EMPLOYEE[[#This Row],[Perf_Score]]&gt;=95,"Outstanding",IF(EMPLOYEE[[#This Row],[Perf_Score]]&gt;=85,"Exceeding",IF(EMPLOYEE[[#This Row],[Perf_Score]]&gt;=70,"Achieving",IF(EMPLOYEE[[#This Row],[Perf_Score]]&gt;=50,"Developing",IF(EMPLOYEE[[#This Row],[Perf_Score]]&gt;=0,"Needs Improvement","NA")))))</f>
        <v>Exceeding</v>
      </c>
      <c r="M89" s="18">
        <f>IF(EMPLOYEE[[#This Row],[Perf_Score]]&gt;=95,0.12,IF(EMPLOYEE[[#This Row],[Perf_Score]]&gt;=85,0.08,IF(EMPLOYEE[[#This Row],[Perf_Score]]&gt;=70,0.05,IF(EMPLOYEE[[#This Row],[Perf_Score]]&gt;=50,0.02,IF(EMPLOYEE[[#This Row],[Perf_Score]]&gt;=0,0,"NA")))))</f>
        <v>0.08</v>
      </c>
    </row>
    <row r="90" spans="1:13" x14ac:dyDescent="0.25">
      <c r="A90" t="s">
        <v>133</v>
      </c>
      <c r="B90" t="s">
        <v>41</v>
      </c>
      <c r="C90" t="s">
        <v>49</v>
      </c>
      <c r="D90" s="2" t="s">
        <v>9</v>
      </c>
      <c r="E90" s="3">
        <v>42880</v>
      </c>
      <c r="F90" s="4">
        <v>77545</v>
      </c>
      <c r="G90">
        <v>48</v>
      </c>
      <c r="H90" t="s">
        <v>36</v>
      </c>
      <c r="I90" t="str">
        <f>VLOOKUP(EMPLOYEE[[#This Row],[Dept Code]],Lookup_Departments!$A$1:$B$7,2,FALSE)</f>
        <v>Information Technology</v>
      </c>
      <c r="J90" t="str">
        <f>CONCATENATE(EMPLOYEE[[#This Row],[First_Name]]," "," ",EMPLOYEE[[#This Row],[Last_Name]])</f>
        <v>Jane  Davis</v>
      </c>
      <c r="K90" s="13">
        <f ca="1">DATEDIF(EMPLOYEE[[#This Row],[Hire Date]],TODAY(),"Y")</f>
        <v>9</v>
      </c>
      <c r="L90" t="str">
        <f>IF(EMPLOYEE[[#This Row],[Perf_Score]]&gt;=95,"Outstanding",IF(EMPLOYEE[[#This Row],[Perf_Score]]&gt;=85,"Exceeding",IF(EMPLOYEE[[#This Row],[Perf_Score]]&gt;=70,"Achieving",IF(EMPLOYEE[[#This Row],[Perf_Score]]&gt;=50,"Developing",IF(EMPLOYEE[[#This Row],[Perf_Score]]&gt;=0,"Needs Improvement","NA")))))</f>
        <v>Needs Improvement</v>
      </c>
      <c r="M90" s="18">
        <f>IF(EMPLOYEE[[#This Row],[Perf_Score]]&gt;=95,0.12,IF(EMPLOYEE[[#This Row],[Perf_Score]]&gt;=85,0.08,IF(EMPLOYEE[[#This Row],[Perf_Score]]&gt;=70,0.05,IF(EMPLOYEE[[#This Row],[Perf_Score]]&gt;=50,0.02,IF(EMPLOYEE[[#This Row],[Perf_Score]]&gt;=0,0,"NA")))))</f>
        <v>0</v>
      </c>
    </row>
    <row r="91" spans="1:13" x14ac:dyDescent="0.25">
      <c r="A91" t="s">
        <v>134</v>
      </c>
      <c r="B91" t="s">
        <v>115</v>
      </c>
      <c r="C91" t="s">
        <v>15</v>
      </c>
      <c r="D91" s="2" t="s">
        <v>26</v>
      </c>
      <c r="E91" s="3">
        <v>43436</v>
      </c>
      <c r="F91" s="4">
        <v>68683</v>
      </c>
      <c r="G91">
        <v>90</v>
      </c>
      <c r="H91" t="s">
        <v>36</v>
      </c>
      <c r="I91" t="str">
        <f>VLOOKUP(EMPLOYEE[[#This Row],[Dept Code]],Lookup_Departments!$A$1:$B$7,2,FALSE)</f>
        <v>Operations</v>
      </c>
      <c r="J91" t="str">
        <f>CONCATENATE(EMPLOYEE[[#This Row],[First_Name]]," "," ",EMPLOYEE[[#This Row],[Last_Name]])</f>
        <v>William  Gonzalez</v>
      </c>
      <c r="K91" s="13">
        <f ca="1">DATEDIF(EMPLOYEE[[#This Row],[Hire Date]],TODAY(),"Y")</f>
        <v>7</v>
      </c>
      <c r="L91" t="str">
        <f>IF(EMPLOYEE[[#This Row],[Perf_Score]]&gt;=95,"Outstanding",IF(EMPLOYEE[[#This Row],[Perf_Score]]&gt;=85,"Exceeding",IF(EMPLOYEE[[#This Row],[Perf_Score]]&gt;=70,"Achieving",IF(EMPLOYEE[[#This Row],[Perf_Score]]&gt;=50,"Developing",IF(EMPLOYEE[[#This Row],[Perf_Score]]&gt;=0,"Needs Improvement","NA")))))</f>
        <v>Exceeding</v>
      </c>
      <c r="M91" s="18">
        <f>IF(EMPLOYEE[[#This Row],[Perf_Score]]&gt;=95,0.12,IF(EMPLOYEE[[#This Row],[Perf_Score]]&gt;=85,0.08,IF(EMPLOYEE[[#This Row],[Perf_Score]]&gt;=70,0.05,IF(EMPLOYEE[[#This Row],[Perf_Score]]&gt;=50,0.02,IF(EMPLOYEE[[#This Row],[Perf_Score]]&gt;=0,0,"NA")))))</f>
        <v>0.08</v>
      </c>
    </row>
    <row r="92" spans="1:13" x14ac:dyDescent="0.25">
      <c r="A92" t="s">
        <v>135</v>
      </c>
      <c r="B92" t="s">
        <v>21</v>
      </c>
      <c r="C92" t="s">
        <v>46</v>
      </c>
      <c r="D92" s="2" t="s">
        <v>19</v>
      </c>
      <c r="E92" s="3">
        <v>43639</v>
      </c>
      <c r="F92" s="4">
        <v>83932</v>
      </c>
      <c r="G92">
        <v>57</v>
      </c>
      <c r="H92" t="s">
        <v>23</v>
      </c>
      <c r="I92" t="str">
        <f>VLOOKUP(EMPLOYEE[[#This Row],[Dept Code]],Lookup_Departments!$A$1:$B$7,2,FALSE)</f>
        <v>Finance</v>
      </c>
      <c r="J92" t="str">
        <f>CONCATENATE(EMPLOYEE[[#This Row],[First_Name]]," "," ",EMPLOYEE[[#This Row],[Last_Name]])</f>
        <v>Thomas  Jones</v>
      </c>
      <c r="K92" s="13">
        <f ca="1">DATEDIF(EMPLOYEE[[#This Row],[Hire Date]],TODAY(),"Y")</f>
        <v>7</v>
      </c>
      <c r="L92" t="str">
        <f>IF(EMPLOYEE[[#This Row],[Perf_Score]]&gt;=95,"Outstanding",IF(EMPLOYEE[[#This Row],[Perf_Score]]&gt;=85,"Exceeding",IF(EMPLOYEE[[#This Row],[Perf_Score]]&gt;=70,"Achieving",IF(EMPLOYEE[[#This Row],[Perf_Score]]&gt;=50,"Developing",IF(EMPLOYEE[[#This Row],[Perf_Score]]&gt;=0,"Needs Improvement","NA")))))</f>
        <v>Developing</v>
      </c>
      <c r="M92" s="18">
        <f>IF(EMPLOYEE[[#This Row],[Perf_Score]]&gt;=95,0.12,IF(EMPLOYEE[[#This Row],[Perf_Score]]&gt;=85,0.08,IF(EMPLOYEE[[#This Row],[Perf_Score]]&gt;=70,0.05,IF(EMPLOYEE[[#This Row],[Perf_Score]]&gt;=50,0.02,IF(EMPLOYEE[[#This Row],[Perf_Score]]&gt;=0,0,"NA")))))</f>
        <v>0.02</v>
      </c>
    </row>
    <row r="93" spans="1:13" x14ac:dyDescent="0.25">
      <c r="A93" t="s">
        <v>136</v>
      </c>
      <c r="B93" t="s">
        <v>30</v>
      </c>
      <c r="C93" t="s">
        <v>99</v>
      </c>
      <c r="D93" s="2" t="s">
        <v>72</v>
      </c>
      <c r="E93" s="3">
        <v>42304</v>
      </c>
      <c r="F93" s="4">
        <v>56073</v>
      </c>
      <c r="G93">
        <v>79</v>
      </c>
      <c r="H93" t="s">
        <v>36</v>
      </c>
      <c r="I93" t="str">
        <f>VLOOKUP(EMPLOYEE[[#This Row],[Dept Code]],Lookup_Departments!$A$1:$B$7,2,FALSE)</f>
        <v>Human Resources</v>
      </c>
      <c r="J93" t="str">
        <f>CONCATENATE(EMPLOYEE[[#This Row],[First_Name]]," "," ",EMPLOYEE[[#This Row],[Last_Name]])</f>
        <v>Jessica  Anderson</v>
      </c>
      <c r="K93" s="13">
        <f ca="1">DATEDIF(EMPLOYEE[[#This Row],[Hire Date]],TODAY(),"Y")</f>
        <v>10</v>
      </c>
      <c r="L93" t="str">
        <f>IF(EMPLOYEE[[#This Row],[Perf_Score]]&gt;=95,"Outstanding",IF(EMPLOYEE[[#This Row],[Perf_Score]]&gt;=85,"Exceeding",IF(EMPLOYEE[[#This Row],[Perf_Score]]&gt;=70,"Achieving",IF(EMPLOYEE[[#This Row],[Perf_Score]]&gt;=50,"Developing",IF(EMPLOYEE[[#This Row],[Perf_Score]]&gt;=0,"Needs Improvement","NA")))))</f>
        <v>Achieving</v>
      </c>
      <c r="M93" s="18">
        <f>IF(EMPLOYEE[[#This Row],[Perf_Score]]&gt;=95,0.12,IF(EMPLOYEE[[#This Row],[Perf_Score]]&gt;=85,0.08,IF(EMPLOYEE[[#This Row],[Perf_Score]]&gt;=70,0.05,IF(EMPLOYEE[[#This Row],[Perf_Score]]&gt;=50,0.02,IF(EMPLOYEE[[#This Row],[Perf_Score]]&gt;=0,0,"NA")))))</f>
        <v>0.05</v>
      </c>
    </row>
    <row r="94" spans="1:13" x14ac:dyDescent="0.25">
      <c r="A94" t="s">
        <v>137</v>
      </c>
      <c r="B94" t="s">
        <v>77</v>
      </c>
      <c r="C94" t="s">
        <v>25</v>
      </c>
      <c r="D94" s="2" t="s">
        <v>9</v>
      </c>
      <c r="E94" s="3">
        <v>43270</v>
      </c>
      <c r="F94" s="4">
        <v>88056</v>
      </c>
      <c r="G94">
        <v>66</v>
      </c>
      <c r="H94" t="s">
        <v>36</v>
      </c>
      <c r="I94" t="str">
        <f>VLOOKUP(EMPLOYEE[[#This Row],[Dept Code]],Lookup_Departments!$A$1:$B$7,2,FALSE)</f>
        <v>Information Technology</v>
      </c>
      <c r="J94" t="str">
        <f>CONCATENATE(EMPLOYEE[[#This Row],[First_Name]]," "," ",EMPLOYEE[[#This Row],[Last_Name]])</f>
        <v>Melissa  Johnson</v>
      </c>
      <c r="K94" s="13">
        <f ca="1">DATEDIF(EMPLOYEE[[#This Row],[Hire Date]],TODAY(),"Y")</f>
        <v>8</v>
      </c>
      <c r="L94" t="str">
        <f>IF(EMPLOYEE[[#This Row],[Perf_Score]]&gt;=95,"Outstanding",IF(EMPLOYEE[[#This Row],[Perf_Score]]&gt;=85,"Exceeding",IF(EMPLOYEE[[#This Row],[Perf_Score]]&gt;=70,"Achieving",IF(EMPLOYEE[[#This Row],[Perf_Score]]&gt;=50,"Developing",IF(EMPLOYEE[[#This Row],[Perf_Score]]&gt;=0,"Needs Improvement","NA")))))</f>
        <v>Developing</v>
      </c>
      <c r="M94" s="18">
        <f>IF(EMPLOYEE[[#This Row],[Perf_Score]]&gt;=95,0.12,IF(EMPLOYEE[[#This Row],[Perf_Score]]&gt;=85,0.08,IF(EMPLOYEE[[#This Row],[Perf_Score]]&gt;=70,0.05,IF(EMPLOYEE[[#This Row],[Perf_Score]]&gt;=50,0.02,IF(EMPLOYEE[[#This Row],[Perf_Score]]&gt;=0,0,"NA")))))</f>
        <v>0.02</v>
      </c>
    </row>
    <row r="95" spans="1:13" x14ac:dyDescent="0.25">
      <c r="A95" t="s">
        <v>138</v>
      </c>
      <c r="B95" t="s">
        <v>21</v>
      </c>
      <c r="C95" t="s">
        <v>38</v>
      </c>
      <c r="D95" s="2" t="s">
        <v>26</v>
      </c>
      <c r="E95" s="3">
        <v>43112</v>
      </c>
      <c r="F95" s="4">
        <v>67414</v>
      </c>
      <c r="G95">
        <v>84</v>
      </c>
      <c r="H95" t="s">
        <v>23</v>
      </c>
      <c r="I95" t="str">
        <f>VLOOKUP(EMPLOYEE[[#This Row],[Dept Code]],Lookup_Departments!$A$1:$B$7,2,FALSE)</f>
        <v>Operations</v>
      </c>
      <c r="J95" t="str">
        <f>CONCATENATE(EMPLOYEE[[#This Row],[First_Name]]," "," ",EMPLOYEE[[#This Row],[Last_Name]])</f>
        <v>Thomas  Miller</v>
      </c>
      <c r="K95" s="13">
        <f ca="1">DATEDIF(EMPLOYEE[[#This Row],[Hire Date]],TODAY(),"Y")</f>
        <v>8</v>
      </c>
      <c r="L95" t="str">
        <f>IF(EMPLOYEE[[#This Row],[Perf_Score]]&gt;=95,"Outstanding",IF(EMPLOYEE[[#This Row],[Perf_Score]]&gt;=85,"Exceeding",IF(EMPLOYEE[[#This Row],[Perf_Score]]&gt;=70,"Achieving",IF(EMPLOYEE[[#This Row],[Perf_Score]]&gt;=50,"Developing",IF(EMPLOYEE[[#This Row],[Perf_Score]]&gt;=0,"Needs Improvement","NA")))))</f>
        <v>Achieving</v>
      </c>
      <c r="M95" s="18">
        <f>IF(EMPLOYEE[[#This Row],[Perf_Score]]&gt;=95,0.12,IF(EMPLOYEE[[#This Row],[Perf_Score]]&gt;=85,0.08,IF(EMPLOYEE[[#This Row],[Perf_Score]]&gt;=70,0.05,IF(EMPLOYEE[[#This Row],[Perf_Score]]&gt;=50,0.02,IF(EMPLOYEE[[#This Row],[Perf_Score]]&gt;=0,0,"NA")))))</f>
        <v>0.05</v>
      </c>
    </row>
    <row r="96" spans="1:13" x14ac:dyDescent="0.25">
      <c r="A96" t="s">
        <v>139</v>
      </c>
      <c r="B96" t="s">
        <v>115</v>
      </c>
      <c r="C96" t="s">
        <v>15</v>
      </c>
      <c r="D96" s="2" t="s">
        <v>35</v>
      </c>
      <c r="E96" s="3">
        <v>42008</v>
      </c>
      <c r="F96" s="4">
        <v>115288</v>
      </c>
      <c r="G96">
        <v>61</v>
      </c>
      <c r="H96" t="s">
        <v>36</v>
      </c>
      <c r="I96" t="str">
        <f>VLOOKUP(EMPLOYEE[[#This Row],[Dept Code]],Lookup_Departments!$A$1:$B$7,2,FALSE)</f>
        <v>Sales</v>
      </c>
      <c r="J96" t="str">
        <f>CONCATENATE(EMPLOYEE[[#This Row],[First_Name]]," "," ",EMPLOYEE[[#This Row],[Last_Name]])</f>
        <v>William  Gonzalez</v>
      </c>
      <c r="K96" s="13">
        <f ca="1">DATEDIF(EMPLOYEE[[#This Row],[Hire Date]],TODAY(),"Y")</f>
        <v>11</v>
      </c>
      <c r="L96" t="str">
        <f>IF(EMPLOYEE[[#This Row],[Perf_Score]]&gt;=95,"Outstanding",IF(EMPLOYEE[[#This Row],[Perf_Score]]&gt;=85,"Exceeding",IF(EMPLOYEE[[#This Row],[Perf_Score]]&gt;=70,"Achieving",IF(EMPLOYEE[[#This Row],[Perf_Score]]&gt;=50,"Developing",IF(EMPLOYEE[[#This Row],[Perf_Score]]&gt;=0,"Needs Improvement","NA")))))</f>
        <v>Developing</v>
      </c>
      <c r="M96" s="18">
        <f>IF(EMPLOYEE[[#This Row],[Perf_Score]]&gt;=95,0.12,IF(EMPLOYEE[[#This Row],[Perf_Score]]&gt;=85,0.08,IF(EMPLOYEE[[#This Row],[Perf_Score]]&gt;=70,0.05,IF(EMPLOYEE[[#This Row],[Perf_Score]]&gt;=50,0.02,IF(EMPLOYEE[[#This Row],[Perf_Score]]&gt;=0,0,"NA")))))</f>
        <v>0.02</v>
      </c>
    </row>
    <row r="97" spans="1:13" x14ac:dyDescent="0.25">
      <c r="A97" t="s">
        <v>140</v>
      </c>
      <c r="B97" t="s">
        <v>115</v>
      </c>
      <c r="C97" t="s">
        <v>22</v>
      </c>
      <c r="D97" s="2" t="s">
        <v>35</v>
      </c>
      <c r="E97" s="3">
        <v>43439</v>
      </c>
      <c r="F97" s="4">
        <v>80140</v>
      </c>
      <c r="G97">
        <v>58</v>
      </c>
      <c r="H97" t="s">
        <v>36</v>
      </c>
      <c r="I97" t="str">
        <f>VLOOKUP(EMPLOYEE[[#This Row],[Dept Code]],Lookup_Departments!$A$1:$B$7,2,FALSE)</f>
        <v>Sales</v>
      </c>
      <c r="J97" t="str">
        <f>CONCATENATE(EMPLOYEE[[#This Row],[First_Name]]," "," ",EMPLOYEE[[#This Row],[Last_Name]])</f>
        <v>William  Smith</v>
      </c>
      <c r="K97" s="13">
        <f ca="1">DATEDIF(EMPLOYEE[[#This Row],[Hire Date]],TODAY(),"Y")</f>
        <v>7</v>
      </c>
      <c r="L97" t="str">
        <f>IF(EMPLOYEE[[#This Row],[Perf_Score]]&gt;=95,"Outstanding",IF(EMPLOYEE[[#This Row],[Perf_Score]]&gt;=85,"Exceeding",IF(EMPLOYEE[[#This Row],[Perf_Score]]&gt;=70,"Achieving",IF(EMPLOYEE[[#This Row],[Perf_Score]]&gt;=50,"Developing",IF(EMPLOYEE[[#This Row],[Perf_Score]]&gt;=0,"Needs Improvement","NA")))))</f>
        <v>Developing</v>
      </c>
      <c r="M97" s="18">
        <f>IF(EMPLOYEE[[#This Row],[Perf_Score]]&gt;=95,0.12,IF(EMPLOYEE[[#This Row],[Perf_Score]]&gt;=85,0.08,IF(EMPLOYEE[[#This Row],[Perf_Score]]&gt;=70,0.05,IF(EMPLOYEE[[#This Row],[Perf_Score]]&gt;=50,0.02,IF(EMPLOYEE[[#This Row],[Perf_Score]]&gt;=0,0,"NA")))))</f>
        <v>0.02</v>
      </c>
    </row>
    <row r="98" spans="1:13" x14ac:dyDescent="0.25">
      <c r="A98" t="s">
        <v>141</v>
      </c>
      <c r="B98" t="s">
        <v>17</v>
      </c>
      <c r="C98" t="s">
        <v>25</v>
      </c>
      <c r="D98" s="2" t="s">
        <v>9</v>
      </c>
      <c r="E98" s="3">
        <v>44482</v>
      </c>
      <c r="F98" s="4">
        <v>73087</v>
      </c>
      <c r="G98">
        <v>69</v>
      </c>
      <c r="H98" t="s">
        <v>36</v>
      </c>
      <c r="I98" t="str">
        <f>VLOOKUP(EMPLOYEE[[#This Row],[Dept Code]],Lookup_Departments!$A$1:$B$7,2,FALSE)</f>
        <v>Information Technology</v>
      </c>
      <c r="J98" t="str">
        <f>CONCATENATE(EMPLOYEE[[#This Row],[First_Name]]," "," ",EMPLOYEE[[#This Row],[Last_Name]])</f>
        <v>John  Johnson</v>
      </c>
      <c r="K98" s="13">
        <f ca="1">DATEDIF(EMPLOYEE[[#This Row],[Hire Date]],TODAY(),"Y")</f>
        <v>4</v>
      </c>
      <c r="L98" t="str">
        <f>IF(EMPLOYEE[[#This Row],[Perf_Score]]&gt;=95,"Outstanding",IF(EMPLOYEE[[#This Row],[Perf_Score]]&gt;=85,"Exceeding",IF(EMPLOYEE[[#This Row],[Perf_Score]]&gt;=70,"Achieving",IF(EMPLOYEE[[#This Row],[Perf_Score]]&gt;=50,"Developing",IF(EMPLOYEE[[#This Row],[Perf_Score]]&gt;=0,"Needs Improvement","NA")))))</f>
        <v>Developing</v>
      </c>
      <c r="M98" s="18">
        <f>IF(EMPLOYEE[[#This Row],[Perf_Score]]&gt;=95,0.12,IF(EMPLOYEE[[#This Row],[Perf_Score]]&gt;=85,0.08,IF(EMPLOYEE[[#This Row],[Perf_Score]]&gt;=70,0.05,IF(EMPLOYEE[[#This Row],[Perf_Score]]&gt;=50,0.02,IF(EMPLOYEE[[#This Row],[Perf_Score]]&gt;=0,0,"NA")))))</f>
        <v>0.02</v>
      </c>
    </row>
    <row r="99" spans="1:13" x14ac:dyDescent="0.25">
      <c r="A99" t="s">
        <v>142</v>
      </c>
      <c r="B99" t="s">
        <v>41</v>
      </c>
      <c r="C99" t="s">
        <v>25</v>
      </c>
      <c r="D99" s="2" t="s">
        <v>35</v>
      </c>
      <c r="E99" s="3">
        <v>44081</v>
      </c>
      <c r="F99" s="4">
        <v>95292</v>
      </c>
      <c r="G99">
        <v>34</v>
      </c>
      <c r="H99" t="s">
        <v>36</v>
      </c>
      <c r="I99" t="str">
        <f>VLOOKUP(EMPLOYEE[[#This Row],[Dept Code]],Lookup_Departments!$A$1:$B$7,2,FALSE)</f>
        <v>Sales</v>
      </c>
      <c r="J99" t="str">
        <f>CONCATENATE(EMPLOYEE[[#This Row],[First_Name]]," "," ",EMPLOYEE[[#This Row],[Last_Name]])</f>
        <v>Jane  Johnson</v>
      </c>
      <c r="K99" s="13">
        <f ca="1">DATEDIF(EMPLOYEE[[#This Row],[Hire Date]],TODAY(),"Y")</f>
        <v>5</v>
      </c>
      <c r="L99" t="str">
        <f>IF(EMPLOYEE[[#This Row],[Perf_Score]]&gt;=95,"Outstanding",IF(EMPLOYEE[[#This Row],[Perf_Score]]&gt;=85,"Exceeding",IF(EMPLOYEE[[#This Row],[Perf_Score]]&gt;=70,"Achieving",IF(EMPLOYEE[[#This Row],[Perf_Score]]&gt;=50,"Developing",IF(EMPLOYEE[[#This Row],[Perf_Score]]&gt;=0,"Needs Improvement","NA")))))</f>
        <v>Needs Improvement</v>
      </c>
      <c r="M99" s="18">
        <f>IF(EMPLOYEE[[#This Row],[Perf_Score]]&gt;=95,0.12,IF(EMPLOYEE[[#This Row],[Perf_Score]]&gt;=85,0.08,IF(EMPLOYEE[[#This Row],[Perf_Score]]&gt;=70,0.05,IF(EMPLOYEE[[#This Row],[Perf_Score]]&gt;=50,0.02,IF(EMPLOYEE[[#This Row],[Perf_Score]]&gt;=0,0,"NA")))))</f>
        <v>0</v>
      </c>
    </row>
    <row r="100" spans="1:13" x14ac:dyDescent="0.25">
      <c r="A100" t="s">
        <v>143</v>
      </c>
      <c r="B100" t="s">
        <v>17</v>
      </c>
      <c r="C100" t="s">
        <v>46</v>
      </c>
      <c r="D100" s="2" t="s">
        <v>9</v>
      </c>
      <c r="E100" s="3">
        <v>43532</v>
      </c>
      <c r="F100" s="4">
        <v>83593</v>
      </c>
      <c r="G100">
        <v>33</v>
      </c>
      <c r="H100" t="s">
        <v>36</v>
      </c>
      <c r="I100" t="str">
        <f>VLOOKUP(EMPLOYEE[[#This Row],[Dept Code]],Lookup_Departments!$A$1:$B$7,2,FALSE)</f>
        <v>Information Technology</v>
      </c>
      <c r="J100" t="str">
        <f>CONCATENATE(EMPLOYEE[[#This Row],[First_Name]]," "," ",EMPLOYEE[[#This Row],[Last_Name]])</f>
        <v>John  Jones</v>
      </c>
      <c r="K100" s="13">
        <f ca="1">DATEDIF(EMPLOYEE[[#This Row],[Hire Date]],TODAY(),"Y")</f>
        <v>7</v>
      </c>
      <c r="L100" t="str">
        <f>IF(EMPLOYEE[[#This Row],[Perf_Score]]&gt;=95,"Outstanding",IF(EMPLOYEE[[#This Row],[Perf_Score]]&gt;=85,"Exceeding",IF(EMPLOYEE[[#This Row],[Perf_Score]]&gt;=70,"Achieving",IF(EMPLOYEE[[#This Row],[Perf_Score]]&gt;=50,"Developing",IF(EMPLOYEE[[#This Row],[Perf_Score]]&gt;=0,"Needs Improvement","NA")))))</f>
        <v>Needs Improvement</v>
      </c>
      <c r="M100" s="18">
        <f>IF(EMPLOYEE[[#This Row],[Perf_Score]]&gt;=95,0.12,IF(EMPLOYEE[[#This Row],[Perf_Score]]&gt;=85,0.08,IF(EMPLOYEE[[#This Row],[Perf_Score]]&gt;=70,0.05,IF(EMPLOYEE[[#This Row],[Perf_Score]]&gt;=50,0.02,IF(EMPLOYEE[[#This Row],[Perf_Score]]&gt;=0,0,"NA")))))</f>
        <v>0</v>
      </c>
    </row>
    <row r="101" spans="1:13" x14ac:dyDescent="0.25">
      <c r="A101" t="s">
        <v>144</v>
      </c>
      <c r="B101" t="s">
        <v>41</v>
      </c>
      <c r="C101" t="s">
        <v>54</v>
      </c>
      <c r="D101" s="2" t="s">
        <v>13</v>
      </c>
      <c r="E101" s="3">
        <v>42074</v>
      </c>
      <c r="F101" s="4">
        <v>101750</v>
      </c>
      <c r="G101">
        <v>84</v>
      </c>
      <c r="H101" t="s">
        <v>23</v>
      </c>
      <c r="I101" t="str">
        <f>VLOOKUP(EMPLOYEE[[#This Row],[Dept Code]],Lookup_Departments!$A$1:$B$7,2,FALSE)</f>
        <v>Marketing</v>
      </c>
      <c r="J101" t="str">
        <f>CONCATENATE(EMPLOYEE[[#This Row],[First_Name]]," "," ",EMPLOYEE[[#This Row],[Last_Name]])</f>
        <v>Jane  Lopez</v>
      </c>
      <c r="K101" s="13">
        <f ca="1">DATEDIF(EMPLOYEE[[#This Row],[Hire Date]],TODAY(),"Y")</f>
        <v>11</v>
      </c>
      <c r="L101" t="str">
        <f>IF(EMPLOYEE[[#This Row],[Perf_Score]]&gt;=95,"Outstanding",IF(EMPLOYEE[[#This Row],[Perf_Score]]&gt;=85,"Exceeding",IF(EMPLOYEE[[#This Row],[Perf_Score]]&gt;=70,"Achieving",IF(EMPLOYEE[[#This Row],[Perf_Score]]&gt;=50,"Developing",IF(EMPLOYEE[[#This Row],[Perf_Score]]&gt;=0,"Needs Improvement","NA")))))</f>
        <v>Achieving</v>
      </c>
      <c r="M101" s="18">
        <f>IF(EMPLOYEE[[#This Row],[Perf_Score]]&gt;=95,0.12,IF(EMPLOYEE[[#This Row],[Perf_Score]]&gt;=85,0.08,IF(EMPLOYEE[[#This Row],[Perf_Score]]&gt;=70,0.05,IF(EMPLOYEE[[#This Row],[Perf_Score]]&gt;=50,0.02,IF(EMPLOYEE[[#This Row],[Perf_Score]]&gt;=0,0,"NA")))))</f>
        <v>0.05</v>
      </c>
    </row>
    <row r="102" spans="1:13" x14ac:dyDescent="0.25">
      <c r="A102" t="s">
        <v>145</v>
      </c>
      <c r="B102" t="s">
        <v>77</v>
      </c>
      <c r="C102" t="s">
        <v>15</v>
      </c>
      <c r="D102" s="2" t="s">
        <v>13</v>
      </c>
      <c r="E102" s="3">
        <v>42785</v>
      </c>
      <c r="F102" s="4">
        <v>82992</v>
      </c>
      <c r="G102">
        <v>79</v>
      </c>
      <c r="H102" t="s">
        <v>36</v>
      </c>
      <c r="I102" t="str">
        <f>VLOOKUP(EMPLOYEE[[#This Row],[Dept Code]],Lookup_Departments!$A$1:$B$7,2,FALSE)</f>
        <v>Marketing</v>
      </c>
      <c r="J102" t="str">
        <f>CONCATENATE(EMPLOYEE[[#This Row],[First_Name]]," "," ",EMPLOYEE[[#This Row],[Last_Name]])</f>
        <v>Melissa  Gonzalez</v>
      </c>
      <c r="K102" s="13">
        <f ca="1">DATEDIF(EMPLOYEE[[#This Row],[Hire Date]],TODAY(),"Y")</f>
        <v>9</v>
      </c>
      <c r="L102" t="str">
        <f>IF(EMPLOYEE[[#This Row],[Perf_Score]]&gt;=95,"Outstanding",IF(EMPLOYEE[[#This Row],[Perf_Score]]&gt;=85,"Exceeding",IF(EMPLOYEE[[#This Row],[Perf_Score]]&gt;=70,"Achieving",IF(EMPLOYEE[[#This Row],[Perf_Score]]&gt;=50,"Developing",IF(EMPLOYEE[[#This Row],[Perf_Score]]&gt;=0,"Needs Improvement","NA")))))</f>
        <v>Achieving</v>
      </c>
      <c r="M102" s="18">
        <f>IF(EMPLOYEE[[#This Row],[Perf_Score]]&gt;=95,0.12,IF(EMPLOYEE[[#This Row],[Perf_Score]]&gt;=85,0.08,IF(EMPLOYEE[[#This Row],[Perf_Score]]&gt;=70,0.05,IF(EMPLOYEE[[#This Row],[Perf_Score]]&gt;=50,0.02,IF(EMPLOYEE[[#This Row],[Perf_Score]]&gt;=0,0,"NA")))))</f>
        <v>0.05</v>
      </c>
    </row>
    <row r="103" spans="1:13" x14ac:dyDescent="0.25">
      <c r="A103" t="s">
        <v>146</v>
      </c>
      <c r="B103" t="s">
        <v>115</v>
      </c>
      <c r="C103" t="s">
        <v>49</v>
      </c>
      <c r="D103" s="2" t="s">
        <v>9</v>
      </c>
      <c r="E103" s="3">
        <v>45055</v>
      </c>
      <c r="F103" s="4">
        <v>49942</v>
      </c>
      <c r="G103">
        <v>51</v>
      </c>
      <c r="H103" t="s">
        <v>36</v>
      </c>
      <c r="I103" t="str">
        <f>VLOOKUP(EMPLOYEE[[#This Row],[Dept Code]],Lookup_Departments!$A$1:$B$7,2,FALSE)</f>
        <v>Information Technology</v>
      </c>
      <c r="J103" t="str">
        <f>CONCATENATE(EMPLOYEE[[#This Row],[First_Name]]," "," ",EMPLOYEE[[#This Row],[Last_Name]])</f>
        <v>William  Davis</v>
      </c>
      <c r="K103" s="13">
        <f ca="1">DATEDIF(EMPLOYEE[[#This Row],[Hire Date]],TODAY(),"Y")</f>
        <v>3</v>
      </c>
      <c r="L103" t="str">
        <f>IF(EMPLOYEE[[#This Row],[Perf_Score]]&gt;=95,"Outstanding",IF(EMPLOYEE[[#This Row],[Perf_Score]]&gt;=85,"Exceeding",IF(EMPLOYEE[[#This Row],[Perf_Score]]&gt;=70,"Achieving",IF(EMPLOYEE[[#This Row],[Perf_Score]]&gt;=50,"Developing",IF(EMPLOYEE[[#This Row],[Perf_Score]]&gt;=0,"Needs Improvement","NA")))))</f>
        <v>Developing</v>
      </c>
      <c r="M103" s="18">
        <f>IF(EMPLOYEE[[#This Row],[Perf_Score]]&gt;=95,0.12,IF(EMPLOYEE[[#This Row],[Perf_Score]]&gt;=85,0.08,IF(EMPLOYEE[[#This Row],[Perf_Score]]&gt;=70,0.05,IF(EMPLOYEE[[#This Row],[Perf_Score]]&gt;=50,0.02,IF(EMPLOYEE[[#This Row],[Perf_Score]]&gt;=0,0,"NA")))))</f>
        <v>0.02</v>
      </c>
    </row>
    <row r="104" spans="1:13" x14ac:dyDescent="0.25">
      <c r="A104" t="s">
        <v>147</v>
      </c>
      <c r="B104" t="s">
        <v>17</v>
      </c>
      <c r="C104" t="s">
        <v>22</v>
      </c>
      <c r="D104" s="2" t="s">
        <v>26</v>
      </c>
      <c r="E104" s="3">
        <v>43122</v>
      </c>
      <c r="F104" s="4">
        <v>89060</v>
      </c>
      <c r="G104">
        <v>58</v>
      </c>
      <c r="H104" t="s">
        <v>36</v>
      </c>
      <c r="I104" t="str">
        <f>VLOOKUP(EMPLOYEE[[#This Row],[Dept Code]],Lookup_Departments!$A$1:$B$7,2,FALSE)</f>
        <v>Operations</v>
      </c>
      <c r="J104" t="str">
        <f>CONCATENATE(EMPLOYEE[[#This Row],[First_Name]]," "," ",EMPLOYEE[[#This Row],[Last_Name]])</f>
        <v>John  Smith</v>
      </c>
      <c r="K104" s="13">
        <f ca="1">DATEDIF(EMPLOYEE[[#This Row],[Hire Date]],TODAY(),"Y")</f>
        <v>8</v>
      </c>
      <c r="L104" t="str">
        <f>IF(EMPLOYEE[[#This Row],[Perf_Score]]&gt;=95,"Outstanding",IF(EMPLOYEE[[#This Row],[Perf_Score]]&gt;=85,"Exceeding",IF(EMPLOYEE[[#This Row],[Perf_Score]]&gt;=70,"Achieving",IF(EMPLOYEE[[#This Row],[Perf_Score]]&gt;=50,"Developing",IF(EMPLOYEE[[#This Row],[Perf_Score]]&gt;=0,"Needs Improvement","NA")))))</f>
        <v>Developing</v>
      </c>
      <c r="M104" s="18">
        <f>IF(EMPLOYEE[[#This Row],[Perf_Score]]&gt;=95,0.12,IF(EMPLOYEE[[#This Row],[Perf_Score]]&gt;=85,0.08,IF(EMPLOYEE[[#This Row],[Perf_Score]]&gt;=70,0.05,IF(EMPLOYEE[[#This Row],[Perf_Score]]&gt;=50,0.02,IF(EMPLOYEE[[#This Row],[Perf_Score]]&gt;=0,0,"NA")))))</f>
        <v>0.02</v>
      </c>
    </row>
    <row r="105" spans="1:13" x14ac:dyDescent="0.25">
      <c r="A105" t="s">
        <v>148</v>
      </c>
      <c r="B105" t="s">
        <v>51</v>
      </c>
      <c r="C105" t="s">
        <v>15</v>
      </c>
      <c r="D105" s="2" t="s">
        <v>9</v>
      </c>
      <c r="E105" s="3">
        <v>43879</v>
      </c>
      <c r="F105" s="4">
        <v>53786</v>
      </c>
      <c r="G105">
        <v>98</v>
      </c>
      <c r="H105" t="s">
        <v>36</v>
      </c>
      <c r="I105" t="str">
        <f>VLOOKUP(EMPLOYEE[[#This Row],[Dept Code]],Lookup_Departments!$A$1:$B$7,2,FALSE)</f>
        <v>Information Technology</v>
      </c>
      <c r="J105" t="str">
        <f>CONCATENATE(EMPLOYEE[[#This Row],[First_Name]]," "," ",EMPLOYEE[[#This Row],[Last_Name]])</f>
        <v>James  Gonzalez</v>
      </c>
      <c r="K105" s="13">
        <f ca="1">DATEDIF(EMPLOYEE[[#This Row],[Hire Date]],TODAY(),"Y")</f>
        <v>6</v>
      </c>
      <c r="L105" t="str">
        <f>IF(EMPLOYEE[[#This Row],[Perf_Score]]&gt;=95,"Outstanding",IF(EMPLOYEE[[#This Row],[Perf_Score]]&gt;=85,"Exceeding",IF(EMPLOYEE[[#This Row],[Perf_Score]]&gt;=70,"Achieving",IF(EMPLOYEE[[#This Row],[Perf_Score]]&gt;=50,"Developing",IF(EMPLOYEE[[#This Row],[Perf_Score]]&gt;=0,"Needs Improvement","NA")))))</f>
        <v>Outstanding</v>
      </c>
      <c r="M105" s="18">
        <f>IF(EMPLOYEE[[#This Row],[Perf_Score]]&gt;=95,0.12,IF(EMPLOYEE[[#This Row],[Perf_Score]]&gt;=85,0.08,IF(EMPLOYEE[[#This Row],[Perf_Score]]&gt;=70,0.05,IF(EMPLOYEE[[#This Row],[Perf_Score]]&gt;=50,0.02,IF(EMPLOYEE[[#This Row],[Perf_Score]]&gt;=0,0,"NA")))))</f>
        <v>0.12</v>
      </c>
    </row>
    <row r="106" spans="1:13" x14ac:dyDescent="0.25">
      <c r="A106" t="s">
        <v>149</v>
      </c>
      <c r="B106" t="s">
        <v>7</v>
      </c>
      <c r="C106" t="s">
        <v>25</v>
      </c>
      <c r="D106" s="2" t="s">
        <v>26</v>
      </c>
      <c r="E106" s="3">
        <v>42512</v>
      </c>
      <c r="F106" s="4">
        <v>81167</v>
      </c>
      <c r="G106">
        <v>68</v>
      </c>
      <c r="H106" t="s">
        <v>36</v>
      </c>
      <c r="I106" t="str">
        <f>VLOOKUP(EMPLOYEE[[#This Row],[Dept Code]],Lookup_Departments!$A$1:$B$7,2,FALSE)</f>
        <v>Operations</v>
      </c>
      <c r="J106" t="str">
        <f>CONCATENATE(EMPLOYEE[[#This Row],[First_Name]]," "," ",EMPLOYEE[[#This Row],[Last_Name]])</f>
        <v>Emily  Johnson</v>
      </c>
      <c r="K106" s="13">
        <f ca="1">DATEDIF(EMPLOYEE[[#This Row],[Hire Date]],TODAY(),"Y")</f>
        <v>10</v>
      </c>
      <c r="L106" t="str">
        <f>IF(EMPLOYEE[[#This Row],[Perf_Score]]&gt;=95,"Outstanding",IF(EMPLOYEE[[#This Row],[Perf_Score]]&gt;=85,"Exceeding",IF(EMPLOYEE[[#This Row],[Perf_Score]]&gt;=70,"Achieving",IF(EMPLOYEE[[#This Row],[Perf_Score]]&gt;=50,"Developing",IF(EMPLOYEE[[#This Row],[Perf_Score]]&gt;=0,"Needs Improvement","NA")))))</f>
        <v>Developing</v>
      </c>
      <c r="M106" s="18">
        <f>IF(EMPLOYEE[[#This Row],[Perf_Score]]&gt;=95,0.12,IF(EMPLOYEE[[#This Row],[Perf_Score]]&gt;=85,0.08,IF(EMPLOYEE[[#This Row],[Perf_Score]]&gt;=70,0.05,IF(EMPLOYEE[[#This Row],[Perf_Score]]&gt;=50,0.02,IF(EMPLOYEE[[#This Row],[Perf_Score]]&gt;=0,0,"NA")))))</f>
        <v>0.02</v>
      </c>
    </row>
    <row r="107" spans="1:13" x14ac:dyDescent="0.25">
      <c r="A107" t="s">
        <v>150</v>
      </c>
      <c r="B107" t="s">
        <v>115</v>
      </c>
      <c r="C107" t="s">
        <v>42</v>
      </c>
      <c r="D107" s="2" t="s">
        <v>13</v>
      </c>
      <c r="E107" s="3">
        <v>44349</v>
      </c>
      <c r="F107" s="4">
        <v>66688</v>
      </c>
      <c r="G107">
        <v>40</v>
      </c>
      <c r="H107" t="s">
        <v>23</v>
      </c>
      <c r="I107" t="str">
        <f>VLOOKUP(EMPLOYEE[[#This Row],[Dept Code]],Lookup_Departments!$A$1:$B$7,2,FALSE)</f>
        <v>Marketing</v>
      </c>
      <c r="J107" t="str">
        <f>CONCATENATE(EMPLOYEE[[#This Row],[First_Name]]," "," ",EMPLOYEE[[#This Row],[Last_Name]])</f>
        <v>William  Williams</v>
      </c>
      <c r="K107" s="13">
        <f ca="1">DATEDIF(EMPLOYEE[[#This Row],[Hire Date]],TODAY(),"Y")</f>
        <v>5</v>
      </c>
      <c r="L107" t="str">
        <f>IF(EMPLOYEE[[#This Row],[Perf_Score]]&gt;=95,"Outstanding",IF(EMPLOYEE[[#This Row],[Perf_Score]]&gt;=85,"Exceeding",IF(EMPLOYEE[[#This Row],[Perf_Score]]&gt;=70,"Achieving",IF(EMPLOYEE[[#This Row],[Perf_Score]]&gt;=50,"Developing",IF(EMPLOYEE[[#This Row],[Perf_Score]]&gt;=0,"Needs Improvement","NA")))))</f>
        <v>Needs Improvement</v>
      </c>
      <c r="M107" s="18">
        <f>IF(EMPLOYEE[[#This Row],[Perf_Score]]&gt;=95,0.12,IF(EMPLOYEE[[#This Row],[Perf_Score]]&gt;=85,0.08,IF(EMPLOYEE[[#This Row],[Perf_Score]]&gt;=70,0.05,IF(EMPLOYEE[[#This Row],[Perf_Score]]&gt;=50,0.02,IF(EMPLOYEE[[#This Row],[Perf_Score]]&gt;=0,0,"NA")))))</f>
        <v>0</v>
      </c>
    </row>
    <row r="108" spans="1:13" x14ac:dyDescent="0.25">
      <c r="A108" t="s">
        <v>151</v>
      </c>
      <c r="B108" t="s">
        <v>51</v>
      </c>
      <c r="C108" t="s">
        <v>46</v>
      </c>
      <c r="D108" s="2" t="s">
        <v>9</v>
      </c>
      <c r="E108" s="3">
        <v>44394</v>
      </c>
      <c r="F108" s="4">
        <v>91672</v>
      </c>
      <c r="G108">
        <v>88</v>
      </c>
      <c r="H108" t="s">
        <v>36</v>
      </c>
      <c r="I108" t="str">
        <f>VLOOKUP(EMPLOYEE[[#This Row],[Dept Code]],Lookup_Departments!$A$1:$B$7,2,FALSE)</f>
        <v>Information Technology</v>
      </c>
      <c r="J108" t="str">
        <f>CONCATENATE(EMPLOYEE[[#This Row],[First_Name]]," "," ",EMPLOYEE[[#This Row],[Last_Name]])</f>
        <v>James  Jones</v>
      </c>
      <c r="K108" s="13">
        <f ca="1">DATEDIF(EMPLOYEE[[#This Row],[Hire Date]],TODAY(),"Y")</f>
        <v>5</v>
      </c>
      <c r="L108" t="str">
        <f>IF(EMPLOYEE[[#This Row],[Perf_Score]]&gt;=95,"Outstanding",IF(EMPLOYEE[[#This Row],[Perf_Score]]&gt;=85,"Exceeding",IF(EMPLOYEE[[#This Row],[Perf_Score]]&gt;=70,"Achieving",IF(EMPLOYEE[[#This Row],[Perf_Score]]&gt;=50,"Developing",IF(EMPLOYEE[[#This Row],[Perf_Score]]&gt;=0,"Needs Improvement","NA")))))</f>
        <v>Exceeding</v>
      </c>
      <c r="M108" s="18">
        <f>IF(EMPLOYEE[[#This Row],[Perf_Score]]&gt;=95,0.12,IF(EMPLOYEE[[#This Row],[Perf_Score]]&gt;=85,0.08,IF(EMPLOYEE[[#This Row],[Perf_Score]]&gt;=70,0.05,IF(EMPLOYEE[[#This Row],[Perf_Score]]&gt;=50,0.02,IF(EMPLOYEE[[#This Row],[Perf_Score]]&gt;=0,0,"NA")))))</f>
        <v>0.08</v>
      </c>
    </row>
    <row r="109" spans="1:13" x14ac:dyDescent="0.25">
      <c r="A109" t="s">
        <v>152</v>
      </c>
      <c r="B109" t="s">
        <v>30</v>
      </c>
      <c r="C109" t="s">
        <v>15</v>
      </c>
      <c r="D109" s="2" t="s">
        <v>72</v>
      </c>
      <c r="E109" s="3">
        <v>42687</v>
      </c>
      <c r="F109" s="4">
        <v>77737</v>
      </c>
      <c r="G109">
        <v>77</v>
      </c>
      <c r="H109" t="s">
        <v>36</v>
      </c>
      <c r="I109" t="str">
        <f>VLOOKUP(EMPLOYEE[[#This Row],[Dept Code]],Lookup_Departments!$A$1:$B$7,2,FALSE)</f>
        <v>Human Resources</v>
      </c>
      <c r="J109" t="str">
        <f>CONCATENATE(EMPLOYEE[[#This Row],[First_Name]]," "," ",EMPLOYEE[[#This Row],[Last_Name]])</f>
        <v>Jessica  Gonzalez</v>
      </c>
      <c r="K109" s="13">
        <f ca="1">DATEDIF(EMPLOYEE[[#This Row],[Hire Date]],TODAY(),"Y")</f>
        <v>9</v>
      </c>
      <c r="L109" t="str">
        <f>IF(EMPLOYEE[[#This Row],[Perf_Score]]&gt;=95,"Outstanding",IF(EMPLOYEE[[#This Row],[Perf_Score]]&gt;=85,"Exceeding",IF(EMPLOYEE[[#This Row],[Perf_Score]]&gt;=70,"Achieving",IF(EMPLOYEE[[#This Row],[Perf_Score]]&gt;=50,"Developing",IF(EMPLOYEE[[#This Row],[Perf_Score]]&gt;=0,"Needs Improvement","NA")))))</f>
        <v>Achieving</v>
      </c>
      <c r="M109" s="18">
        <f>IF(EMPLOYEE[[#This Row],[Perf_Score]]&gt;=95,0.12,IF(EMPLOYEE[[#This Row],[Perf_Score]]&gt;=85,0.08,IF(EMPLOYEE[[#This Row],[Perf_Score]]&gt;=70,0.05,IF(EMPLOYEE[[#This Row],[Perf_Score]]&gt;=50,0.02,IF(EMPLOYEE[[#This Row],[Perf_Score]]&gt;=0,0,"NA")))))</f>
        <v>0.05</v>
      </c>
    </row>
    <row r="110" spans="1:13" x14ac:dyDescent="0.25">
      <c r="A110" t="s">
        <v>153</v>
      </c>
      <c r="B110" t="s">
        <v>70</v>
      </c>
      <c r="C110" t="s">
        <v>38</v>
      </c>
      <c r="D110" s="2" t="s">
        <v>35</v>
      </c>
      <c r="E110" s="3">
        <v>43513</v>
      </c>
      <c r="F110" s="4">
        <v>95686</v>
      </c>
      <c r="G110">
        <v>91</v>
      </c>
      <c r="H110" t="s">
        <v>36</v>
      </c>
      <c r="I110" t="str">
        <f>VLOOKUP(EMPLOYEE[[#This Row],[Dept Code]],Lookup_Departments!$A$1:$B$7,2,FALSE)</f>
        <v>Sales</v>
      </c>
      <c r="J110" t="str">
        <f>CONCATENATE(EMPLOYEE[[#This Row],[First_Name]]," "," ",EMPLOYEE[[#This Row],[Last_Name]])</f>
        <v>Sarah  Miller</v>
      </c>
      <c r="K110" s="13">
        <f ca="1">DATEDIF(EMPLOYEE[[#This Row],[Hire Date]],TODAY(),"Y")</f>
        <v>7</v>
      </c>
      <c r="L110" t="str">
        <f>IF(EMPLOYEE[[#This Row],[Perf_Score]]&gt;=95,"Outstanding",IF(EMPLOYEE[[#This Row],[Perf_Score]]&gt;=85,"Exceeding",IF(EMPLOYEE[[#This Row],[Perf_Score]]&gt;=70,"Achieving",IF(EMPLOYEE[[#This Row],[Perf_Score]]&gt;=50,"Developing",IF(EMPLOYEE[[#This Row],[Perf_Score]]&gt;=0,"Needs Improvement","NA")))))</f>
        <v>Exceeding</v>
      </c>
      <c r="M110" s="18">
        <f>IF(EMPLOYEE[[#This Row],[Perf_Score]]&gt;=95,0.12,IF(EMPLOYEE[[#This Row],[Perf_Score]]&gt;=85,0.08,IF(EMPLOYEE[[#This Row],[Perf_Score]]&gt;=70,0.05,IF(EMPLOYEE[[#This Row],[Perf_Score]]&gt;=50,0.02,IF(EMPLOYEE[[#This Row],[Perf_Score]]&gt;=0,0,"NA")))))</f>
        <v>0.08</v>
      </c>
    </row>
    <row r="111" spans="1:13" x14ac:dyDescent="0.25">
      <c r="A111" t="s">
        <v>154</v>
      </c>
      <c r="B111" t="s">
        <v>30</v>
      </c>
      <c r="C111" t="s">
        <v>22</v>
      </c>
      <c r="D111" s="2" t="s">
        <v>35</v>
      </c>
      <c r="E111" s="3">
        <v>42625</v>
      </c>
      <c r="F111" s="4">
        <v>114681</v>
      </c>
      <c r="G111">
        <v>36</v>
      </c>
      <c r="H111" t="s">
        <v>36</v>
      </c>
      <c r="I111" t="str">
        <f>VLOOKUP(EMPLOYEE[[#This Row],[Dept Code]],Lookup_Departments!$A$1:$B$7,2,FALSE)</f>
        <v>Sales</v>
      </c>
      <c r="J111" t="str">
        <f>CONCATENATE(EMPLOYEE[[#This Row],[First_Name]]," "," ",EMPLOYEE[[#This Row],[Last_Name]])</f>
        <v>Jessica  Smith</v>
      </c>
      <c r="K111" s="13">
        <f ca="1">DATEDIF(EMPLOYEE[[#This Row],[Hire Date]],TODAY(),"Y")</f>
        <v>9</v>
      </c>
      <c r="L111" t="str">
        <f>IF(EMPLOYEE[[#This Row],[Perf_Score]]&gt;=95,"Outstanding",IF(EMPLOYEE[[#This Row],[Perf_Score]]&gt;=85,"Exceeding",IF(EMPLOYEE[[#This Row],[Perf_Score]]&gt;=70,"Achieving",IF(EMPLOYEE[[#This Row],[Perf_Score]]&gt;=50,"Developing",IF(EMPLOYEE[[#This Row],[Perf_Score]]&gt;=0,"Needs Improvement","NA")))))</f>
        <v>Needs Improvement</v>
      </c>
      <c r="M111" s="18">
        <f>IF(EMPLOYEE[[#This Row],[Perf_Score]]&gt;=95,0.12,IF(EMPLOYEE[[#This Row],[Perf_Score]]&gt;=85,0.08,IF(EMPLOYEE[[#This Row],[Perf_Score]]&gt;=70,0.05,IF(EMPLOYEE[[#This Row],[Perf_Score]]&gt;=50,0.02,IF(EMPLOYEE[[#This Row],[Perf_Score]]&gt;=0,0,"NA")))))</f>
        <v>0</v>
      </c>
    </row>
    <row r="112" spans="1:13" x14ac:dyDescent="0.25">
      <c r="A112" t="s">
        <v>155</v>
      </c>
      <c r="B112" t="s">
        <v>21</v>
      </c>
      <c r="C112" t="s">
        <v>46</v>
      </c>
      <c r="D112" s="2" t="s">
        <v>26</v>
      </c>
      <c r="E112" s="3">
        <v>44421</v>
      </c>
      <c r="F112" s="4">
        <v>109121</v>
      </c>
      <c r="G112">
        <v>72</v>
      </c>
      <c r="H112" t="s">
        <v>36</v>
      </c>
      <c r="I112" t="str">
        <f>VLOOKUP(EMPLOYEE[[#This Row],[Dept Code]],Lookup_Departments!$A$1:$B$7,2,FALSE)</f>
        <v>Operations</v>
      </c>
      <c r="J112" t="str">
        <f>CONCATENATE(EMPLOYEE[[#This Row],[First_Name]]," "," ",EMPLOYEE[[#This Row],[Last_Name]])</f>
        <v>Thomas  Jones</v>
      </c>
      <c r="K112" s="13">
        <f ca="1">DATEDIF(EMPLOYEE[[#This Row],[Hire Date]],TODAY(),"Y")</f>
        <v>4</v>
      </c>
      <c r="L112" t="str">
        <f>IF(EMPLOYEE[[#This Row],[Perf_Score]]&gt;=95,"Outstanding",IF(EMPLOYEE[[#This Row],[Perf_Score]]&gt;=85,"Exceeding",IF(EMPLOYEE[[#This Row],[Perf_Score]]&gt;=70,"Achieving",IF(EMPLOYEE[[#This Row],[Perf_Score]]&gt;=50,"Developing",IF(EMPLOYEE[[#This Row],[Perf_Score]]&gt;=0,"Needs Improvement","NA")))))</f>
        <v>Achieving</v>
      </c>
      <c r="M112" s="18">
        <f>IF(EMPLOYEE[[#This Row],[Perf_Score]]&gt;=95,0.12,IF(EMPLOYEE[[#This Row],[Perf_Score]]&gt;=85,0.08,IF(EMPLOYEE[[#This Row],[Perf_Score]]&gt;=70,0.05,IF(EMPLOYEE[[#This Row],[Perf_Score]]&gt;=50,0.02,IF(EMPLOYEE[[#This Row],[Perf_Score]]&gt;=0,0,"NA")))))</f>
        <v>0.05</v>
      </c>
    </row>
    <row r="113" spans="1:13" x14ac:dyDescent="0.25">
      <c r="A113" t="s">
        <v>156</v>
      </c>
      <c r="B113" t="s">
        <v>56</v>
      </c>
      <c r="C113" t="s">
        <v>8</v>
      </c>
      <c r="D113" s="2" t="s">
        <v>13</v>
      </c>
      <c r="E113" s="3">
        <v>43996</v>
      </c>
      <c r="F113" s="4">
        <v>112791</v>
      </c>
      <c r="G113">
        <v>87</v>
      </c>
      <c r="H113" t="s">
        <v>36</v>
      </c>
      <c r="I113" t="str">
        <f>VLOOKUP(EMPLOYEE[[#This Row],[Dept Code]],Lookup_Departments!$A$1:$B$7,2,FALSE)</f>
        <v>Marketing</v>
      </c>
      <c r="J113" t="str">
        <f>CONCATENATE(EMPLOYEE[[#This Row],[First_Name]]," "," ",EMPLOYEE[[#This Row],[Last_Name]])</f>
        <v>Amanda  Brown</v>
      </c>
      <c r="K113" s="13">
        <f ca="1">DATEDIF(EMPLOYEE[[#This Row],[Hire Date]],TODAY(),"Y")</f>
        <v>6</v>
      </c>
      <c r="L113" t="str">
        <f>IF(EMPLOYEE[[#This Row],[Perf_Score]]&gt;=95,"Outstanding",IF(EMPLOYEE[[#This Row],[Perf_Score]]&gt;=85,"Exceeding",IF(EMPLOYEE[[#This Row],[Perf_Score]]&gt;=70,"Achieving",IF(EMPLOYEE[[#This Row],[Perf_Score]]&gt;=50,"Developing",IF(EMPLOYEE[[#This Row],[Perf_Score]]&gt;=0,"Needs Improvement","NA")))))</f>
        <v>Exceeding</v>
      </c>
      <c r="M113" s="18">
        <f>IF(EMPLOYEE[[#This Row],[Perf_Score]]&gt;=95,0.12,IF(EMPLOYEE[[#This Row],[Perf_Score]]&gt;=85,0.08,IF(EMPLOYEE[[#This Row],[Perf_Score]]&gt;=70,0.05,IF(EMPLOYEE[[#This Row],[Perf_Score]]&gt;=50,0.02,IF(EMPLOYEE[[#This Row],[Perf_Score]]&gt;=0,0,"NA")))))</f>
        <v>0.08</v>
      </c>
    </row>
    <row r="114" spans="1:13" x14ac:dyDescent="0.25">
      <c r="A114" t="s">
        <v>157</v>
      </c>
      <c r="B114" t="s">
        <v>45</v>
      </c>
      <c r="C114" t="s">
        <v>18</v>
      </c>
      <c r="D114" s="2" t="s">
        <v>9</v>
      </c>
      <c r="E114" s="3">
        <v>44747</v>
      </c>
      <c r="F114" s="4">
        <v>118008</v>
      </c>
      <c r="G114">
        <v>71</v>
      </c>
      <c r="H114" t="s">
        <v>36</v>
      </c>
      <c r="I114" t="str">
        <f>VLOOKUP(EMPLOYEE[[#This Row],[Dept Code]],Lookup_Departments!$A$1:$B$7,2,FALSE)</f>
        <v>Information Technology</v>
      </c>
      <c r="J114" t="str">
        <f>CONCATENATE(EMPLOYEE[[#This Row],[First_Name]]," "," ",EMPLOYEE[[#This Row],[Last_Name]])</f>
        <v>Robert  Martinez</v>
      </c>
      <c r="K114" s="13">
        <f ca="1">DATEDIF(EMPLOYEE[[#This Row],[Hire Date]],TODAY(),"Y")</f>
        <v>4</v>
      </c>
      <c r="L114" t="str">
        <f>IF(EMPLOYEE[[#This Row],[Perf_Score]]&gt;=95,"Outstanding",IF(EMPLOYEE[[#This Row],[Perf_Score]]&gt;=85,"Exceeding",IF(EMPLOYEE[[#This Row],[Perf_Score]]&gt;=70,"Achieving",IF(EMPLOYEE[[#This Row],[Perf_Score]]&gt;=50,"Developing",IF(EMPLOYEE[[#This Row],[Perf_Score]]&gt;=0,"Needs Improvement","NA")))))</f>
        <v>Achieving</v>
      </c>
      <c r="M114" s="18">
        <f>IF(EMPLOYEE[[#This Row],[Perf_Score]]&gt;=95,0.12,IF(EMPLOYEE[[#This Row],[Perf_Score]]&gt;=85,0.08,IF(EMPLOYEE[[#This Row],[Perf_Score]]&gt;=70,0.05,IF(EMPLOYEE[[#This Row],[Perf_Score]]&gt;=50,0.02,IF(EMPLOYEE[[#This Row],[Perf_Score]]&gt;=0,0,"NA")))))</f>
        <v>0.05</v>
      </c>
    </row>
    <row r="115" spans="1:13" x14ac:dyDescent="0.25">
      <c r="A115" t="s">
        <v>158</v>
      </c>
      <c r="B115" t="s">
        <v>21</v>
      </c>
      <c r="C115" t="s">
        <v>38</v>
      </c>
      <c r="D115" s="2" t="s">
        <v>9</v>
      </c>
      <c r="E115" s="3">
        <v>42561</v>
      </c>
      <c r="F115" s="4">
        <v>74370</v>
      </c>
      <c r="G115">
        <v>82</v>
      </c>
      <c r="H115" t="s">
        <v>36</v>
      </c>
      <c r="I115" t="str">
        <f>VLOOKUP(EMPLOYEE[[#This Row],[Dept Code]],Lookup_Departments!$A$1:$B$7,2,FALSE)</f>
        <v>Information Technology</v>
      </c>
      <c r="J115" t="str">
        <f>CONCATENATE(EMPLOYEE[[#This Row],[First_Name]]," "," ",EMPLOYEE[[#This Row],[Last_Name]])</f>
        <v>Thomas  Miller</v>
      </c>
      <c r="K115" s="13">
        <f ca="1">DATEDIF(EMPLOYEE[[#This Row],[Hire Date]],TODAY(),"Y")</f>
        <v>10</v>
      </c>
      <c r="L115" t="str">
        <f>IF(EMPLOYEE[[#This Row],[Perf_Score]]&gt;=95,"Outstanding",IF(EMPLOYEE[[#This Row],[Perf_Score]]&gt;=85,"Exceeding",IF(EMPLOYEE[[#This Row],[Perf_Score]]&gt;=70,"Achieving",IF(EMPLOYEE[[#This Row],[Perf_Score]]&gt;=50,"Developing",IF(EMPLOYEE[[#This Row],[Perf_Score]]&gt;=0,"Needs Improvement","NA")))))</f>
        <v>Achieving</v>
      </c>
      <c r="M115" s="18">
        <f>IF(EMPLOYEE[[#This Row],[Perf_Score]]&gt;=95,0.12,IF(EMPLOYEE[[#This Row],[Perf_Score]]&gt;=85,0.08,IF(EMPLOYEE[[#This Row],[Perf_Score]]&gt;=70,0.05,IF(EMPLOYEE[[#This Row],[Perf_Score]]&gt;=50,0.02,IF(EMPLOYEE[[#This Row],[Perf_Score]]&gt;=0,0,"NA")))))</f>
        <v>0.05</v>
      </c>
    </row>
    <row r="116" spans="1:13" x14ac:dyDescent="0.25">
      <c r="A116" t="s">
        <v>159</v>
      </c>
      <c r="B116" t="s">
        <v>82</v>
      </c>
      <c r="C116" t="s">
        <v>32</v>
      </c>
      <c r="D116" s="2" t="s">
        <v>9</v>
      </c>
      <c r="E116" s="3">
        <v>44674</v>
      </c>
      <c r="F116" s="4">
        <v>77819</v>
      </c>
      <c r="G116">
        <v>79</v>
      </c>
      <c r="H116" t="s">
        <v>36</v>
      </c>
      <c r="I116" t="str">
        <f>VLOOKUP(EMPLOYEE[[#This Row],[Dept Code]],Lookup_Departments!$A$1:$B$7,2,FALSE)</f>
        <v>Information Technology</v>
      </c>
      <c r="J116" t="str">
        <f>CONCATENATE(EMPLOYEE[[#This Row],[First_Name]]," "," ",EMPLOYEE[[#This Row],[Last_Name]])</f>
        <v>David  Rodriguez</v>
      </c>
      <c r="K116" s="13">
        <f ca="1">DATEDIF(EMPLOYEE[[#This Row],[Hire Date]],TODAY(),"Y")</f>
        <v>4</v>
      </c>
      <c r="L116" t="str">
        <f>IF(EMPLOYEE[[#This Row],[Perf_Score]]&gt;=95,"Outstanding",IF(EMPLOYEE[[#This Row],[Perf_Score]]&gt;=85,"Exceeding",IF(EMPLOYEE[[#This Row],[Perf_Score]]&gt;=70,"Achieving",IF(EMPLOYEE[[#This Row],[Perf_Score]]&gt;=50,"Developing",IF(EMPLOYEE[[#This Row],[Perf_Score]]&gt;=0,"Needs Improvement","NA")))))</f>
        <v>Achieving</v>
      </c>
      <c r="M116" s="18">
        <f>IF(EMPLOYEE[[#This Row],[Perf_Score]]&gt;=95,0.12,IF(EMPLOYEE[[#This Row],[Perf_Score]]&gt;=85,0.08,IF(EMPLOYEE[[#This Row],[Perf_Score]]&gt;=70,0.05,IF(EMPLOYEE[[#This Row],[Perf_Score]]&gt;=50,0.02,IF(EMPLOYEE[[#This Row],[Perf_Score]]&gt;=0,0,"NA")))))</f>
        <v>0.05</v>
      </c>
    </row>
    <row r="117" spans="1:13" x14ac:dyDescent="0.25">
      <c r="A117" t="s">
        <v>160</v>
      </c>
      <c r="B117" t="s">
        <v>41</v>
      </c>
      <c r="C117" t="s">
        <v>38</v>
      </c>
      <c r="D117" s="2" t="s">
        <v>13</v>
      </c>
      <c r="E117" s="3">
        <v>42865</v>
      </c>
      <c r="F117" s="4">
        <v>48748</v>
      </c>
      <c r="G117">
        <v>83</v>
      </c>
      <c r="H117" t="s">
        <v>36</v>
      </c>
      <c r="I117" t="str">
        <f>VLOOKUP(EMPLOYEE[[#This Row],[Dept Code]],Lookup_Departments!$A$1:$B$7,2,FALSE)</f>
        <v>Marketing</v>
      </c>
      <c r="J117" t="str">
        <f>CONCATENATE(EMPLOYEE[[#This Row],[First_Name]]," "," ",EMPLOYEE[[#This Row],[Last_Name]])</f>
        <v>Jane  Miller</v>
      </c>
      <c r="K117" s="13">
        <f ca="1">DATEDIF(EMPLOYEE[[#This Row],[Hire Date]],TODAY(),"Y")</f>
        <v>9</v>
      </c>
      <c r="L117" t="str">
        <f>IF(EMPLOYEE[[#This Row],[Perf_Score]]&gt;=95,"Outstanding",IF(EMPLOYEE[[#This Row],[Perf_Score]]&gt;=85,"Exceeding",IF(EMPLOYEE[[#This Row],[Perf_Score]]&gt;=70,"Achieving",IF(EMPLOYEE[[#This Row],[Perf_Score]]&gt;=50,"Developing",IF(EMPLOYEE[[#This Row],[Perf_Score]]&gt;=0,"Needs Improvement","NA")))))</f>
        <v>Achieving</v>
      </c>
      <c r="M117" s="18">
        <f>IF(EMPLOYEE[[#This Row],[Perf_Score]]&gt;=95,0.12,IF(EMPLOYEE[[#This Row],[Perf_Score]]&gt;=85,0.08,IF(EMPLOYEE[[#This Row],[Perf_Score]]&gt;=70,0.05,IF(EMPLOYEE[[#This Row],[Perf_Score]]&gt;=50,0.02,IF(EMPLOYEE[[#This Row],[Perf_Score]]&gt;=0,0,"NA")))))</f>
        <v>0.05</v>
      </c>
    </row>
    <row r="118" spans="1:13" x14ac:dyDescent="0.25">
      <c r="A118" t="s">
        <v>161</v>
      </c>
      <c r="B118" t="s">
        <v>51</v>
      </c>
      <c r="C118" t="s">
        <v>32</v>
      </c>
      <c r="D118" s="2" t="s">
        <v>26</v>
      </c>
      <c r="E118" s="3">
        <v>43971</v>
      </c>
      <c r="F118" s="4">
        <v>101997</v>
      </c>
      <c r="G118">
        <v>38</v>
      </c>
      <c r="H118" t="s">
        <v>84</v>
      </c>
      <c r="I118" t="str">
        <f>VLOOKUP(EMPLOYEE[[#This Row],[Dept Code]],Lookup_Departments!$A$1:$B$7,2,FALSE)</f>
        <v>Operations</v>
      </c>
      <c r="J118" t="str">
        <f>CONCATENATE(EMPLOYEE[[#This Row],[First_Name]]," "," ",EMPLOYEE[[#This Row],[Last_Name]])</f>
        <v>James  Rodriguez</v>
      </c>
      <c r="K118" s="13">
        <f ca="1">DATEDIF(EMPLOYEE[[#This Row],[Hire Date]],TODAY(),"Y")</f>
        <v>6</v>
      </c>
      <c r="L118" t="str">
        <f>IF(EMPLOYEE[[#This Row],[Perf_Score]]&gt;=95,"Outstanding",IF(EMPLOYEE[[#This Row],[Perf_Score]]&gt;=85,"Exceeding",IF(EMPLOYEE[[#This Row],[Perf_Score]]&gt;=70,"Achieving",IF(EMPLOYEE[[#This Row],[Perf_Score]]&gt;=50,"Developing",IF(EMPLOYEE[[#This Row],[Perf_Score]]&gt;=0,"Needs Improvement","NA")))))</f>
        <v>Needs Improvement</v>
      </c>
      <c r="M118" s="18">
        <f>IF(EMPLOYEE[[#This Row],[Perf_Score]]&gt;=95,0.12,IF(EMPLOYEE[[#This Row],[Perf_Score]]&gt;=85,0.08,IF(EMPLOYEE[[#This Row],[Perf_Score]]&gt;=70,0.05,IF(EMPLOYEE[[#This Row],[Perf_Score]]&gt;=50,0.02,IF(EMPLOYEE[[#This Row],[Perf_Score]]&gt;=0,0,"NA")))))</f>
        <v>0</v>
      </c>
    </row>
    <row r="119" spans="1:13" x14ac:dyDescent="0.25">
      <c r="A119" t="s">
        <v>162</v>
      </c>
      <c r="B119" t="s">
        <v>70</v>
      </c>
      <c r="C119" t="s">
        <v>32</v>
      </c>
      <c r="D119" s="2" t="s">
        <v>72</v>
      </c>
      <c r="E119" s="3">
        <v>45036</v>
      </c>
      <c r="F119" s="4">
        <v>115260</v>
      </c>
      <c r="G119">
        <v>77</v>
      </c>
      <c r="H119" t="s">
        <v>36</v>
      </c>
      <c r="I119" t="str">
        <f>VLOOKUP(EMPLOYEE[[#This Row],[Dept Code]],Lookup_Departments!$A$1:$B$7,2,FALSE)</f>
        <v>Human Resources</v>
      </c>
      <c r="J119" t="str">
        <f>CONCATENATE(EMPLOYEE[[#This Row],[First_Name]]," "," ",EMPLOYEE[[#This Row],[Last_Name]])</f>
        <v>Sarah  Rodriguez</v>
      </c>
      <c r="K119" s="13">
        <f ca="1">DATEDIF(EMPLOYEE[[#This Row],[Hire Date]],TODAY(),"Y")</f>
        <v>3</v>
      </c>
      <c r="L119" t="str">
        <f>IF(EMPLOYEE[[#This Row],[Perf_Score]]&gt;=95,"Outstanding",IF(EMPLOYEE[[#This Row],[Perf_Score]]&gt;=85,"Exceeding",IF(EMPLOYEE[[#This Row],[Perf_Score]]&gt;=70,"Achieving",IF(EMPLOYEE[[#This Row],[Perf_Score]]&gt;=50,"Developing",IF(EMPLOYEE[[#This Row],[Perf_Score]]&gt;=0,"Needs Improvement","NA")))))</f>
        <v>Achieving</v>
      </c>
      <c r="M119" s="18">
        <f>IF(EMPLOYEE[[#This Row],[Perf_Score]]&gt;=95,0.12,IF(EMPLOYEE[[#This Row],[Perf_Score]]&gt;=85,0.08,IF(EMPLOYEE[[#This Row],[Perf_Score]]&gt;=70,0.05,IF(EMPLOYEE[[#This Row],[Perf_Score]]&gt;=50,0.02,IF(EMPLOYEE[[#This Row],[Perf_Score]]&gt;=0,0,"NA")))))</f>
        <v>0.05</v>
      </c>
    </row>
    <row r="120" spans="1:13" x14ac:dyDescent="0.25">
      <c r="A120" t="s">
        <v>163</v>
      </c>
      <c r="B120" t="s">
        <v>70</v>
      </c>
      <c r="C120" t="s">
        <v>28</v>
      </c>
      <c r="D120" s="2" t="s">
        <v>35</v>
      </c>
      <c r="E120" s="3">
        <v>44500</v>
      </c>
      <c r="F120" s="4">
        <v>83135</v>
      </c>
      <c r="G120">
        <v>49</v>
      </c>
      <c r="H120" t="s">
        <v>36</v>
      </c>
      <c r="I120" t="str">
        <f>VLOOKUP(EMPLOYEE[[#This Row],[Dept Code]],Lookup_Departments!$A$1:$B$7,2,FALSE)</f>
        <v>Sales</v>
      </c>
      <c r="J120" t="str">
        <f>CONCATENATE(EMPLOYEE[[#This Row],[First_Name]]," "," ",EMPLOYEE[[#This Row],[Last_Name]])</f>
        <v>Sarah  Wilson</v>
      </c>
      <c r="K120" s="13">
        <f ca="1">DATEDIF(EMPLOYEE[[#This Row],[Hire Date]],TODAY(),"Y")</f>
        <v>4</v>
      </c>
      <c r="L120" t="str">
        <f>IF(EMPLOYEE[[#This Row],[Perf_Score]]&gt;=95,"Outstanding",IF(EMPLOYEE[[#This Row],[Perf_Score]]&gt;=85,"Exceeding",IF(EMPLOYEE[[#This Row],[Perf_Score]]&gt;=70,"Achieving",IF(EMPLOYEE[[#This Row],[Perf_Score]]&gt;=50,"Developing",IF(EMPLOYEE[[#This Row],[Perf_Score]]&gt;=0,"Needs Improvement","NA")))))</f>
        <v>Needs Improvement</v>
      </c>
      <c r="M120" s="18">
        <f>IF(EMPLOYEE[[#This Row],[Perf_Score]]&gt;=95,0.12,IF(EMPLOYEE[[#This Row],[Perf_Score]]&gt;=85,0.08,IF(EMPLOYEE[[#This Row],[Perf_Score]]&gt;=70,0.05,IF(EMPLOYEE[[#This Row],[Perf_Score]]&gt;=50,0.02,IF(EMPLOYEE[[#This Row],[Perf_Score]]&gt;=0,0,"NA")))))</f>
        <v>0</v>
      </c>
    </row>
    <row r="121" spans="1:13" x14ac:dyDescent="0.25">
      <c r="A121" t="s">
        <v>164</v>
      </c>
      <c r="B121" t="s">
        <v>77</v>
      </c>
      <c r="C121" t="s">
        <v>8</v>
      </c>
      <c r="D121" s="2" t="s">
        <v>9</v>
      </c>
      <c r="E121" s="3">
        <v>44493</v>
      </c>
      <c r="F121" s="4">
        <v>83593</v>
      </c>
      <c r="G121">
        <v>69</v>
      </c>
      <c r="H121" t="s">
        <v>23</v>
      </c>
      <c r="I121" t="str">
        <f>VLOOKUP(EMPLOYEE[[#This Row],[Dept Code]],Lookup_Departments!$A$1:$B$7,2,FALSE)</f>
        <v>Information Technology</v>
      </c>
      <c r="J121" t="str">
        <f>CONCATENATE(EMPLOYEE[[#This Row],[First_Name]]," "," ",EMPLOYEE[[#This Row],[Last_Name]])</f>
        <v>Melissa  Brown</v>
      </c>
      <c r="K121" s="13">
        <f ca="1">DATEDIF(EMPLOYEE[[#This Row],[Hire Date]],TODAY(),"Y")</f>
        <v>4</v>
      </c>
      <c r="L121" t="str">
        <f>IF(EMPLOYEE[[#This Row],[Perf_Score]]&gt;=95,"Outstanding",IF(EMPLOYEE[[#This Row],[Perf_Score]]&gt;=85,"Exceeding",IF(EMPLOYEE[[#This Row],[Perf_Score]]&gt;=70,"Achieving",IF(EMPLOYEE[[#This Row],[Perf_Score]]&gt;=50,"Developing",IF(EMPLOYEE[[#This Row],[Perf_Score]]&gt;=0,"Needs Improvement","NA")))))</f>
        <v>Developing</v>
      </c>
      <c r="M121" s="18">
        <f>IF(EMPLOYEE[[#This Row],[Perf_Score]]&gt;=95,0.12,IF(EMPLOYEE[[#This Row],[Perf_Score]]&gt;=85,0.08,IF(EMPLOYEE[[#This Row],[Perf_Score]]&gt;=70,0.05,IF(EMPLOYEE[[#This Row],[Perf_Score]]&gt;=50,0.02,IF(EMPLOYEE[[#This Row],[Perf_Score]]&gt;=0,0,"NA")))))</f>
        <v>0.02</v>
      </c>
    </row>
    <row r="122" spans="1:13" x14ac:dyDescent="0.25">
      <c r="A122" t="s">
        <v>165</v>
      </c>
      <c r="B122" t="s">
        <v>45</v>
      </c>
      <c r="C122" t="s">
        <v>42</v>
      </c>
      <c r="D122" s="2" t="s">
        <v>35</v>
      </c>
      <c r="E122" s="3">
        <v>42956</v>
      </c>
      <c r="F122" s="4">
        <v>83135</v>
      </c>
      <c r="G122">
        <v>76</v>
      </c>
      <c r="H122" t="s">
        <v>36</v>
      </c>
      <c r="I122" t="str">
        <f>VLOOKUP(EMPLOYEE[[#This Row],[Dept Code]],Lookup_Departments!$A$1:$B$7,2,FALSE)</f>
        <v>Sales</v>
      </c>
      <c r="J122" t="str">
        <f>CONCATENATE(EMPLOYEE[[#This Row],[First_Name]]," "," ",EMPLOYEE[[#This Row],[Last_Name]])</f>
        <v>Robert  Williams</v>
      </c>
      <c r="K122" s="13">
        <f ca="1">DATEDIF(EMPLOYEE[[#This Row],[Hire Date]],TODAY(),"Y")</f>
        <v>8</v>
      </c>
      <c r="L122" t="str">
        <f>IF(EMPLOYEE[[#This Row],[Perf_Score]]&gt;=95,"Outstanding",IF(EMPLOYEE[[#This Row],[Perf_Score]]&gt;=85,"Exceeding",IF(EMPLOYEE[[#This Row],[Perf_Score]]&gt;=70,"Achieving",IF(EMPLOYEE[[#This Row],[Perf_Score]]&gt;=50,"Developing",IF(EMPLOYEE[[#This Row],[Perf_Score]]&gt;=0,"Needs Improvement","NA")))))</f>
        <v>Achieving</v>
      </c>
      <c r="M122" s="18">
        <f>IF(EMPLOYEE[[#This Row],[Perf_Score]]&gt;=95,0.12,IF(EMPLOYEE[[#This Row],[Perf_Score]]&gt;=85,0.08,IF(EMPLOYEE[[#This Row],[Perf_Score]]&gt;=70,0.05,IF(EMPLOYEE[[#This Row],[Perf_Score]]&gt;=50,0.02,IF(EMPLOYEE[[#This Row],[Perf_Score]]&gt;=0,0,"NA")))))</f>
        <v>0.05</v>
      </c>
    </row>
    <row r="123" spans="1:13" x14ac:dyDescent="0.25">
      <c r="A123" t="s">
        <v>166</v>
      </c>
      <c r="B123" t="s">
        <v>77</v>
      </c>
      <c r="C123" t="s">
        <v>32</v>
      </c>
      <c r="D123" s="2" t="s">
        <v>26</v>
      </c>
      <c r="E123" s="3">
        <v>44930</v>
      </c>
      <c r="F123" s="4">
        <v>60623</v>
      </c>
      <c r="G123">
        <v>78</v>
      </c>
      <c r="H123" t="s">
        <v>36</v>
      </c>
      <c r="I123" t="str">
        <f>VLOOKUP(EMPLOYEE[[#This Row],[Dept Code]],Lookup_Departments!$A$1:$B$7,2,FALSE)</f>
        <v>Operations</v>
      </c>
      <c r="J123" t="str">
        <f>CONCATENATE(EMPLOYEE[[#This Row],[First_Name]]," "," ",EMPLOYEE[[#This Row],[Last_Name]])</f>
        <v>Melissa  Rodriguez</v>
      </c>
      <c r="K123" s="13">
        <f ca="1">DATEDIF(EMPLOYEE[[#This Row],[Hire Date]],TODAY(),"Y")</f>
        <v>3</v>
      </c>
      <c r="L123" t="str">
        <f>IF(EMPLOYEE[[#This Row],[Perf_Score]]&gt;=95,"Outstanding",IF(EMPLOYEE[[#This Row],[Perf_Score]]&gt;=85,"Exceeding",IF(EMPLOYEE[[#This Row],[Perf_Score]]&gt;=70,"Achieving",IF(EMPLOYEE[[#This Row],[Perf_Score]]&gt;=50,"Developing",IF(EMPLOYEE[[#This Row],[Perf_Score]]&gt;=0,"Needs Improvement","NA")))))</f>
        <v>Achieving</v>
      </c>
      <c r="M123" s="18">
        <f>IF(EMPLOYEE[[#This Row],[Perf_Score]]&gt;=95,0.12,IF(EMPLOYEE[[#This Row],[Perf_Score]]&gt;=85,0.08,IF(EMPLOYEE[[#This Row],[Perf_Score]]&gt;=70,0.05,IF(EMPLOYEE[[#This Row],[Perf_Score]]&gt;=50,0.02,IF(EMPLOYEE[[#This Row],[Perf_Score]]&gt;=0,0,"NA")))))</f>
        <v>0.05</v>
      </c>
    </row>
    <row r="124" spans="1:13" x14ac:dyDescent="0.25">
      <c r="A124" t="s">
        <v>167</v>
      </c>
      <c r="B124" t="s">
        <v>51</v>
      </c>
      <c r="C124" t="s">
        <v>25</v>
      </c>
      <c r="D124" s="2" t="s">
        <v>72</v>
      </c>
      <c r="E124" s="3">
        <v>44053</v>
      </c>
      <c r="F124" s="4">
        <v>68092</v>
      </c>
      <c r="G124">
        <v>93</v>
      </c>
      <c r="H124" t="s">
        <v>36</v>
      </c>
      <c r="I124" t="str">
        <f>VLOOKUP(EMPLOYEE[[#This Row],[Dept Code]],Lookup_Departments!$A$1:$B$7,2,FALSE)</f>
        <v>Human Resources</v>
      </c>
      <c r="J124" t="str">
        <f>CONCATENATE(EMPLOYEE[[#This Row],[First_Name]]," "," ",EMPLOYEE[[#This Row],[Last_Name]])</f>
        <v>James  Johnson</v>
      </c>
      <c r="K124" s="13">
        <f ca="1">DATEDIF(EMPLOYEE[[#This Row],[Hire Date]],TODAY(),"Y")</f>
        <v>5</v>
      </c>
      <c r="L124" t="str">
        <f>IF(EMPLOYEE[[#This Row],[Perf_Score]]&gt;=95,"Outstanding",IF(EMPLOYEE[[#This Row],[Perf_Score]]&gt;=85,"Exceeding",IF(EMPLOYEE[[#This Row],[Perf_Score]]&gt;=70,"Achieving",IF(EMPLOYEE[[#This Row],[Perf_Score]]&gt;=50,"Developing",IF(EMPLOYEE[[#This Row],[Perf_Score]]&gt;=0,"Needs Improvement","NA")))))</f>
        <v>Exceeding</v>
      </c>
      <c r="M124" s="18">
        <f>IF(EMPLOYEE[[#This Row],[Perf_Score]]&gt;=95,0.12,IF(EMPLOYEE[[#This Row],[Perf_Score]]&gt;=85,0.08,IF(EMPLOYEE[[#This Row],[Perf_Score]]&gt;=70,0.05,IF(EMPLOYEE[[#This Row],[Perf_Score]]&gt;=50,0.02,IF(EMPLOYEE[[#This Row],[Perf_Score]]&gt;=0,0,"NA")))))</f>
        <v>0.08</v>
      </c>
    </row>
    <row r="125" spans="1:13" x14ac:dyDescent="0.25">
      <c r="A125" t="s">
        <v>168</v>
      </c>
      <c r="B125" t="s">
        <v>34</v>
      </c>
      <c r="C125" t="s">
        <v>28</v>
      </c>
      <c r="D125" s="2" t="s">
        <v>13</v>
      </c>
      <c r="E125" s="3">
        <v>44653</v>
      </c>
      <c r="F125" s="4">
        <v>88155</v>
      </c>
      <c r="G125">
        <v>68</v>
      </c>
      <c r="H125" t="s">
        <v>36</v>
      </c>
      <c r="I125" t="str">
        <f>VLOOKUP(EMPLOYEE[[#This Row],[Dept Code]],Lookup_Departments!$A$1:$B$7,2,FALSE)</f>
        <v>Marketing</v>
      </c>
      <c r="J125" t="str">
        <f>CONCATENATE(EMPLOYEE[[#This Row],[First_Name]]," "," ",EMPLOYEE[[#This Row],[Last_Name]])</f>
        <v>Michael  Wilson</v>
      </c>
      <c r="K125" s="13">
        <f ca="1">DATEDIF(EMPLOYEE[[#This Row],[Hire Date]],TODAY(),"Y")</f>
        <v>4</v>
      </c>
      <c r="L125" t="str">
        <f>IF(EMPLOYEE[[#This Row],[Perf_Score]]&gt;=95,"Outstanding",IF(EMPLOYEE[[#This Row],[Perf_Score]]&gt;=85,"Exceeding",IF(EMPLOYEE[[#This Row],[Perf_Score]]&gt;=70,"Achieving",IF(EMPLOYEE[[#This Row],[Perf_Score]]&gt;=50,"Developing",IF(EMPLOYEE[[#This Row],[Perf_Score]]&gt;=0,"Needs Improvement","NA")))))</f>
        <v>Developing</v>
      </c>
      <c r="M125" s="18">
        <f>IF(EMPLOYEE[[#This Row],[Perf_Score]]&gt;=95,0.12,IF(EMPLOYEE[[#This Row],[Perf_Score]]&gt;=85,0.08,IF(EMPLOYEE[[#This Row],[Perf_Score]]&gt;=70,0.05,IF(EMPLOYEE[[#This Row],[Perf_Score]]&gt;=50,0.02,IF(EMPLOYEE[[#This Row],[Perf_Score]]&gt;=0,0,"NA")))))</f>
        <v>0.02</v>
      </c>
    </row>
    <row r="126" spans="1:13" x14ac:dyDescent="0.25">
      <c r="A126" t="s">
        <v>169</v>
      </c>
      <c r="B126" t="s">
        <v>115</v>
      </c>
      <c r="C126" t="s">
        <v>46</v>
      </c>
      <c r="D126" s="2" t="s">
        <v>13</v>
      </c>
      <c r="E126" s="3">
        <v>43183</v>
      </c>
      <c r="F126" s="4">
        <v>107903</v>
      </c>
      <c r="G126">
        <v>42</v>
      </c>
      <c r="H126" t="s">
        <v>36</v>
      </c>
      <c r="I126" t="str">
        <f>VLOOKUP(EMPLOYEE[[#This Row],[Dept Code]],Lookup_Departments!$A$1:$B$7,2,FALSE)</f>
        <v>Marketing</v>
      </c>
      <c r="J126" t="str">
        <f>CONCATENATE(EMPLOYEE[[#This Row],[First_Name]]," "," ",EMPLOYEE[[#This Row],[Last_Name]])</f>
        <v>William  Jones</v>
      </c>
      <c r="K126" s="13">
        <f ca="1">DATEDIF(EMPLOYEE[[#This Row],[Hire Date]],TODAY(),"Y")</f>
        <v>8</v>
      </c>
      <c r="L126" t="str">
        <f>IF(EMPLOYEE[[#This Row],[Perf_Score]]&gt;=95,"Outstanding",IF(EMPLOYEE[[#This Row],[Perf_Score]]&gt;=85,"Exceeding",IF(EMPLOYEE[[#This Row],[Perf_Score]]&gt;=70,"Achieving",IF(EMPLOYEE[[#This Row],[Perf_Score]]&gt;=50,"Developing",IF(EMPLOYEE[[#This Row],[Perf_Score]]&gt;=0,"Needs Improvement","NA")))))</f>
        <v>Needs Improvement</v>
      </c>
      <c r="M126" s="18">
        <f>IF(EMPLOYEE[[#This Row],[Perf_Score]]&gt;=95,0.12,IF(EMPLOYEE[[#This Row],[Perf_Score]]&gt;=85,0.08,IF(EMPLOYEE[[#This Row],[Perf_Score]]&gt;=70,0.05,IF(EMPLOYEE[[#This Row],[Perf_Score]]&gt;=50,0.02,IF(EMPLOYEE[[#This Row],[Perf_Score]]&gt;=0,0,"NA")))))</f>
        <v>0</v>
      </c>
    </row>
    <row r="127" spans="1:13" x14ac:dyDescent="0.25">
      <c r="A127" t="s">
        <v>170</v>
      </c>
      <c r="B127" t="s">
        <v>115</v>
      </c>
      <c r="C127" t="s">
        <v>42</v>
      </c>
      <c r="D127" s="2" t="s">
        <v>9</v>
      </c>
      <c r="E127" s="3">
        <v>43305</v>
      </c>
      <c r="F127" s="4">
        <v>62818</v>
      </c>
      <c r="G127">
        <v>34</v>
      </c>
      <c r="H127" t="s">
        <v>36</v>
      </c>
      <c r="I127" t="str">
        <f>VLOOKUP(EMPLOYEE[[#This Row],[Dept Code]],Lookup_Departments!$A$1:$B$7,2,FALSE)</f>
        <v>Information Technology</v>
      </c>
      <c r="J127" t="str">
        <f>CONCATENATE(EMPLOYEE[[#This Row],[First_Name]]," "," ",EMPLOYEE[[#This Row],[Last_Name]])</f>
        <v>William  Williams</v>
      </c>
      <c r="K127" s="13">
        <f ca="1">DATEDIF(EMPLOYEE[[#This Row],[Hire Date]],TODAY(),"Y")</f>
        <v>7</v>
      </c>
      <c r="L127" t="str">
        <f>IF(EMPLOYEE[[#This Row],[Perf_Score]]&gt;=95,"Outstanding",IF(EMPLOYEE[[#This Row],[Perf_Score]]&gt;=85,"Exceeding",IF(EMPLOYEE[[#This Row],[Perf_Score]]&gt;=70,"Achieving",IF(EMPLOYEE[[#This Row],[Perf_Score]]&gt;=50,"Developing",IF(EMPLOYEE[[#This Row],[Perf_Score]]&gt;=0,"Needs Improvement","NA")))))</f>
        <v>Needs Improvement</v>
      </c>
      <c r="M127" s="18">
        <f>IF(EMPLOYEE[[#This Row],[Perf_Score]]&gt;=95,0.12,IF(EMPLOYEE[[#This Row],[Perf_Score]]&gt;=85,0.08,IF(EMPLOYEE[[#This Row],[Perf_Score]]&gt;=70,0.05,IF(EMPLOYEE[[#This Row],[Perf_Score]]&gt;=50,0.02,IF(EMPLOYEE[[#This Row],[Perf_Score]]&gt;=0,0,"NA")))))</f>
        <v>0</v>
      </c>
    </row>
    <row r="128" spans="1:13" x14ac:dyDescent="0.25">
      <c r="A128" t="s">
        <v>171</v>
      </c>
      <c r="B128" t="s">
        <v>82</v>
      </c>
      <c r="C128" t="s">
        <v>42</v>
      </c>
      <c r="D128" s="2" t="s">
        <v>72</v>
      </c>
      <c r="E128" s="3">
        <v>43301</v>
      </c>
      <c r="F128" s="4">
        <v>85151</v>
      </c>
      <c r="G128">
        <v>35</v>
      </c>
      <c r="H128" t="s">
        <v>36</v>
      </c>
      <c r="I128" t="str">
        <f>VLOOKUP(EMPLOYEE[[#This Row],[Dept Code]],Lookup_Departments!$A$1:$B$7,2,FALSE)</f>
        <v>Human Resources</v>
      </c>
      <c r="J128" t="str">
        <f>CONCATENATE(EMPLOYEE[[#This Row],[First_Name]]," "," ",EMPLOYEE[[#This Row],[Last_Name]])</f>
        <v>David  Williams</v>
      </c>
      <c r="K128" s="13">
        <f ca="1">DATEDIF(EMPLOYEE[[#This Row],[Hire Date]],TODAY(),"Y")</f>
        <v>7</v>
      </c>
      <c r="L128" t="str">
        <f>IF(EMPLOYEE[[#This Row],[Perf_Score]]&gt;=95,"Outstanding",IF(EMPLOYEE[[#This Row],[Perf_Score]]&gt;=85,"Exceeding",IF(EMPLOYEE[[#This Row],[Perf_Score]]&gt;=70,"Achieving",IF(EMPLOYEE[[#This Row],[Perf_Score]]&gt;=50,"Developing",IF(EMPLOYEE[[#This Row],[Perf_Score]]&gt;=0,"Needs Improvement","NA")))))</f>
        <v>Needs Improvement</v>
      </c>
      <c r="M128" s="18">
        <f>IF(EMPLOYEE[[#This Row],[Perf_Score]]&gt;=95,0.12,IF(EMPLOYEE[[#This Row],[Perf_Score]]&gt;=85,0.08,IF(EMPLOYEE[[#This Row],[Perf_Score]]&gt;=70,0.05,IF(EMPLOYEE[[#This Row],[Perf_Score]]&gt;=50,0.02,IF(EMPLOYEE[[#This Row],[Perf_Score]]&gt;=0,0,"NA")))))</f>
        <v>0</v>
      </c>
    </row>
    <row r="129" spans="1:13" x14ac:dyDescent="0.25">
      <c r="A129" t="s">
        <v>172</v>
      </c>
      <c r="B129" t="s">
        <v>41</v>
      </c>
      <c r="C129" t="s">
        <v>49</v>
      </c>
      <c r="D129" s="2" t="s">
        <v>19</v>
      </c>
      <c r="E129" s="3">
        <v>42433</v>
      </c>
      <c r="F129" s="4">
        <v>46390</v>
      </c>
      <c r="G129">
        <v>95</v>
      </c>
      <c r="H129" t="s">
        <v>36</v>
      </c>
      <c r="I129" t="str">
        <f>VLOOKUP(EMPLOYEE[[#This Row],[Dept Code]],Lookup_Departments!$A$1:$B$7,2,FALSE)</f>
        <v>Finance</v>
      </c>
      <c r="J129" t="str">
        <f>CONCATENATE(EMPLOYEE[[#This Row],[First_Name]]," "," ",EMPLOYEE[[#This Row],[Last_Name]])</f>
        <v>Jane  Davis</v>
      </c>
      <c r="K129" s="13">
        <f ca="1">DATEDIF(EMPLOYEE[[#This Row],[Hire Date]],TODAY(),"Y")</f>
        <v>10</v>
      </c>
      <c r="L129" t="str">
        <f>IF(EMPLOYEE[[#This Row],[Perf_Score]]&gt;=95,"Outstanding",IF(EMPLOYEE[[#This Row],[Perf_Score]]&gt;=85,"Exceeding",IF(EMPLOYEE[[#This Row],[Perf_Score]]&gt;=70,"Achieving",IF(EMPLOYEE[[#This Row],[Perf_Score]]&gt;=50,"Developing",IF(EMPLOYEE[[#This Row],[Perf_Score]]&gt;=0,"Needs Improvement","NA")))))</f>
        <v>Outstanding</v>
      </c>
      <c r="M129" s="18">
        <f>IF(EMPLOYEE[[#This Row],[Perf_Score]]&gt;=95,0.12,IF(EMPLOYEE[[#This Row],[Perf_Score]]&gt;=85,0.08,IF(EMPLOYEE[[#This Row],[Perf_Score]]&gt;=70,0.05,IF(EMPLOYEE[[#This Row],[Perf_Score]]&gt;=50,0.02,IF(EMPLOYEE[[#This Row],[Perf_Score]]&gt;=0,0,"NA")))))</f>
        <v>0.12</v>
      </c>
    </row>
    <row r="130" spans="1:13" x14ac:dyDescent="0.25">
      <c r="A130" t="s">
        <v>173</v>
      </c>
      <c r="B130" t="s">
        <v>17</v>
      </c>
      <c r="C130" t="s">
        <v>18</v>
      </c>
      <c r="D130" s="2" t="s">
        <v>72</v>
      </c>
      <c r="E130" s="3">
        <v>44643</v>
      </c>
      <c r="F130" s="4">
        <v>111920</v>
      </c>
      <c r="G130">
        <v>90</v>
      </c>
      <c r="H130" t="s">
        <v>23</v>
      </c>
      <c r="I130" t="str">
        <f>VLOOKUP(EMPLOYEE[[#This Row],[Dept Code]],Lookup_Departments!$A$1:$B$7,2,FALSE)</f>
        <v>Human Resources</v>
      </c>
      <c r="J130" t="str">
        <f>CONCATENATE(EMPLOYEE[[#This Row],[First_Name]]," "," ",EMPLOYEE[[#This Row],[Last_Name]])</f>
        <v>John  Martinez</v>
      </c>
      <c r="K130" s="13">
        <f ca="1">DATEDIF(EMPLOYEE[[#This Row],[Hire Date]],TODAY(),"Y")</f>
        <v>4</v>
      </c>
      <c r="L130" t="str">
        <f>IF(EMPLOYEE[[#This Row],[Perf_Score]]&gt;=95,"Outstanding",IF(EMPLOYEE[[#This Row],[Perf_Score]]&gt;=85,"Exceeding",IF(EMPLOYEE[[#This Row],[Perf_Score]]&gt;=70,"Achieving",IF(EMPLOYEE[[#This Row],[Perf_Score]]&gt;=50,"Developing",IF(EMPLOYEE[[#This Row],[Perf_Score]]&gt;=0,"Needs Improvement","NA")))))</f>
        <v>Exceeding</v>
      </c>
      <c r="M130" s="18">
        <f>IF(EMPLOYEE[[#This Row],[Perf_Score]]&gt;=95,0.12,IF(EMPLOYEE[[#This Row],[Perf_Score]]&gt;=85,0.08,IF(EMPLOYEE[[#This Row],[Perf_Score]]&gt;=70,0.05,IF(EMPLOYEE[[#This Row],[Perf_Score]]&gt;=50,0.02,IF(EMPLOYEE[[#This Row],[Perf_Score]]&gt;=0,0,"NA")))))</f>
        <v>0.08</v>
      </c>
    </row>
    <row r="131" spans="1:13" x14ac:dyDescent="0.25">
      <c r="A131" t="s">
        <v>174</v>
      </c>
      <c r="B131" t="s">
        <v>82</v>
      </c>
      <c r="C131" t="s">
        <v>99</v>
      </c>
      <c r="D131" s="2" t="s">
        <v>72</v>
      </c>
      <c r="E131" s="3">
        <v>42944</v>
      </c>
      <c r="F131" s="4">
        <v>115618</v>
      </c>
      <c r="G131">
        <v>42</v>
      </c>
      <c r="H131" t="s">
        <v>36</v>
      </c>
      <c r="I131" t="str">
        <f>VLOOKUP(EMPLOYEE[[#This Row],[Dept Code]],Lookup_Departments!$A$1:$B$7,2,FALSE)</f>
        <v>Human Resources</v>
      </c>
      <c r="J131" t="str">
        <f>CONCATENATE(EMPLOYEE[[#This Row],[First_Name]]," "," ",EMPLOYEE[[#This Row],[Last_Name]])</f>
        <v>David  Anderson</v>
      </c>
      <c r="K131" s="13">
        <f ca="1">DATEDIF(EMPLOYEE[[#This Row],[Hire Date]],TODAY(),"Y")</f>
        <v>8</v>
      </c>
      <c r="L131" t="str">
        <f>IF(EMPLOYEE[[#This Row],[Perf_Score]]&gt;=95,"Outstanding",IF(EMPLOYEE[[#This Row],[Perf_Score]]&gt;=85,"Exceeding",IF(EMPLOYEE[[#This Row],[Perf_Score]]&gt;=70,"Achieving",IF(EMPLOYEE[[#This Row],[Perf_Score]]&gt;=50,"Developing",IF(EMPLOYEE[[#This Row],[Perf_Score]]&gt;=0,"Needs Improvement","NA")))))</f>
        <v>Needs Improvement</v>
      </c>
      <c r="M131" s="18">
        <f>IF(EMPLOYEE[[#This Row],[Perf_Score]]&gt;=95,0.12,IF(EMPLOYEE[[#This Row],[Perf_Score]]&gt;=85,0.08,IF(EMPLOYEE[[#This Row],[Perf_Score]]&gt;=70,0.05,IF(EMPLOYEE[[#This Row],[Perf_Score]]&gt;=50,0.02,IF(EMPLOYEE[[#This Row],[Perf_Score]]&gt;=0,0,"NA")))))</f>
        <v>0</v>
      </c>
    </row>
    <row r="132" spans="1:13" x14ac:dyDescent="0.25">
      <c r="A132" t="s">
        <v>175</v>
      </c>
      <c r="B132" t="s">
        <v>70</v>
      </c>
      <c r="C132" t="s">
        <v>22</v>
      </c>
      <c r="D132" s="2" t="s">
        <v>35</v>
      </c>
      <c r="E132" s="3">
        <v>45057</v>
      </c>
      <c r="F132" s="4">
        <v>110618</v>
      </c>
      <c r="G132">
        <v>88</v>
      </c>
      <c r="H132" t="s">
        <v>84</v>
      </c>
      <c r="I132" t="str">
        <f>VLOOKUP(EMPLOYEE[[#This Row],[Dept Code]],Lookup_Departments!$A$1:$B$7,2,FALSE)</f>
        <v>Sales</v>
      </c>
      <c r="J132" t="str">
        <f>CONCATENATE(EMPLOYEE[[#This Row],[First_Name]]," "," ",EMPLOYEE[[#This Row],[Last_Name]])</f>
        <v>Sarah  Smith</v>
      </c>
      <c r="K132" s="13">
        <f ca="1">DATEDIF(EMPLOYEE[[#This Row],[Hire Date]],TODAY(),"Y")</f>
        <v>3</v>
      </c>
      <c r="L132" t="str">
        <f>IF(EMPLOYEE[[#This Row],[Perf_Score]]&gt;=95,"Outstanding",IF(EMPLOYEE[[#This Row],[Perf_Score]]&gt;=85,"Exceeding",IF(EMPLOYEE[[#This Row],[Perf_Score]]&gt;=70,"Achieving",IF(EMPLOYEE[[#This Row],[Perf_Score]]&gt;=50,"Developing",IF(EMPLOYEE[[#This Row],[Perf_Score]]&gt;=0,"Needs Improvement","NA")))))</f>
        <v>Exceeding</v>
      </c>
      <c r="M132" s="18">
        <f>IF(EMPLOYEE[[#This Row],[Perf_Score]]&gt;=95,0.12,IF(EMPLOYEE[[#This Row],[Perf_Score]]&gt;=85,0.08,IF(EMPLOYEE[[#This Row],[Perf_Score]]&gt;=70,0.05,IF(EMPLOYEE[[#This Row],[Perf_Score]]&gt;=50,0.02,IF(EMPLOYEE[[#This Row],[Perf_Score]]&gt;=0,0,"NA")))))</f>
        <v>0.08</v>
      </c>
    </row>
    <row r="133" spans="1:13" x14ac:dyDescent="0.25">
      <c r="A133" t="s">
        <v>176</v>
      </c>
      <c r="B133" t="s">
        <v>77</v>
      </c>
      <c r="C133" t="s">
        <v>12</v>
      </c>
      <c r="D133" s="2" t="s">
        <v>26</v>
      </c>
      <c r="E133" s="3">
        <v>44639</v>
      </c>
      <c r="F133" s="4">
        <v>108395</v>
      </c>
      <c r="G133">
        <v>78</v>
      </c>
      <c r="H133" t="s">
        <v>23</v>
      </c>
      <c r="I133" t="str">
        <f>VLOOKUP(EMPLOYEE[[#This Row],[Dept Code]],Lookup_Departments!$A$1:$B$7,2,FALSE)</f>
        <v>Operations</v>
      </c>
      <c r="J133" t="str">
        <f>CONCATENATE(EMPLOYEE[[#This Row],[First_Name]]," "," ",EMPLOYEE[[#This Row],[Last_Name]])</f>
        <v>Melissa  Hernandez</v>
      </c>
      <c r="K133" s="13">
        <f ca="1">DATEDIF(EMPLOYEE[[#This Row],[Hire Date]],TODAY(),"Y")</f>
        <v>4</v>
      </c>
      <c r="L133" t="str">
        <f>IF(EMPLOYEE[[#This Row],[Perf_Score]]&gt;=95,"Outstanding",IF(EMPLOYEE[[#This Row],[Perf_Score]]&gt;=85,"Exceeding",IF(EMPLOYEE[[#This Row],[Perf_Score]]&gt;=70,"Achieving",IF(EMPLOYEE[[#This Row],[Perf_Score]]&gt;=50,"Developing",IF(EMPLOYEE[[#This Row],[Perf_Score]]&gt;=0,"Needs Improvement","NA")))))</f>
        <v>Achieving</v>
      </c>
      <c r="M133" s="18">
        <f>IF(EMPLOYEE[[#This Row],[Perf_Score]]&gt;=95,0.12,IF(EMPLOYEE[[#This Row],[Perf_Score]]&gt;=85,0.08,IF(EMPLOYEE[[#This Row],[Perf_Score]]&gt;=70,0.05,IF(EMPLOYEE[[#This Row],[Perf_Score]]&gt;=50,0.02,IF(EMPLOYEE[[#This Row],[Perf_Score]]&gt;=0,0,"NA")))))</f>
        <v>0.05</v>
      </c>
    </row>
    <row r="134" spans="1:13" x14ac:dyDescent="0.25">
      <c r="A134" t="s">
        <v>177</v>
      </c>
      <c r="B134" t="s">
        <v>77</v>
      </c>
      <c r="C134" t="s">
        <v>25</v>
      </c>
      <c r="D134" s="2" t="s">
        <v>19</v>
      </c>
      <c r="E134" s="3">
        <v>43091</v>
      </c>
      <c r="F134" s="4">
        <v>88005</v>
      </c>
      <c r="G134">
        <v>69</v>
      </c>
      <c r="H134" t="s">
        <v>36</v>
      </c>
      <c r="I134" t="str">
        <f>VLOOKUP(EMPLOYEE[[#This Row],[Dept Code]],Lookup_Departments!$A$1:$B$7,2,FALSE)</f>
        <v>Finance</v>
      </c>
      <c r="J134" t="str">
        <f>CONCATENATE(EMPLOYEE[[#This Row],[First_Name]]," "," ",EMPLOYEE[[#This Row],[Last_Name]])</f>
        <v>Melissa  Johnson</v>
      </c>
      <c r="K134" s="13">
        <f ca="1">DATEDIF(EMPLOYEE[[#This Row],[Hire Date]],TODAY(),"Y")</f>
        <v>8</v>
      </c>
      <c r="L134" t="str">
        <f>IF(EMPLOYEE[[#This Row],[Perf_Score]]&gt;=95,"Outstanding",IF(EMPLOYEE[[#This Row],[Perf_Score]]&gt;=85,"Exceeding",IF(EMPLOYEE[[#This Row],[Perf_Score]]&gt;=70,"Achieving",IF(EMPLOYEE[[#This Row],[Perf_Score]]&gt;=50,"Developing",IF(EMPLOYEE[[#This Row],[Perf_Score]]&gt;=0,"Needs Improvement","NA")))))</f>
        <v>Developing</v>
      </c>
      <c r="M134" s="18">
        <f>IF(EMPLOYEE[[#This Row],[Perf_Score]]&gt;=95,0.12,IF(EMPLOYEE[[#This Row],[Perf_Score]]&gt;=85,0.08,IF(EMPLOYEE[[#This Row],[Perf_Score]]&gt;=70,0.05,IF(EMPLOYEE[[#This Row],[Perf_Score]]&gt;=50,0.02,IF(EMPLOYEE[[#This Row],[Perf_Score]]&gt;=0,0,"NA")))))</f>
        <v>0.02</v>
      </c>
    </row>
    <row r="135" spans="1:13" x14ac:dyDescent="0.25">
      <c r="A135" t="s">
        <v>178</v>
      </c>
      <c r="B135" t="s">
        <v>41</v>
      </c>
      <c r="C135" t="s">
        <v>97</v>
      </c>
      <c r="D135" s="2" t="s">
        <v>13</v>
      </c>
      <c r="E135" s="3">
        <v>44437</v>
      </c>
      <c r="F135" s="4">
        <v>83007</v>
      </c>
      <c r="G135">
        <v>82</v>
      </c>
      <c r="H135" t="s">
        <v>36</v>
      </c>
      <c r="I135" t="str">
        <f>VLOOKUP(EMPLOYEE[[#This Row],[Dept Code]],Lookup_Departments!$A$1:$B$7,2,FALSE)</f>
        <v>Marketing</v>
      </c>
      <c r="J135" t="str">
        <f>CONCATENATE(EMPLOYEE[[#This Row],[First_Name]]," "," ",EMPLOYEE[[#This Row],[Last_Name]])</f>
        <v>Jane  Garcia</v>
      </c>
      <c r="K135" s="13">
        <f ca="1">DATEDIF(EMPLOYEE[[#This Row],[Hire Date]],TODAY(),"Y")</f>
        <v>4</v>
      </c>
      <c r="L135" t="str">
        <f>IF(EMPLOYEE[[#This Row],[Perf_Score]]&gt;=95,"Outstanding",IF(EMPLOYEE[[#This Row],[Perf_Score]]&gt;=85,"Exceeding",IF(EMPLOYEE[[#This Row],[Perf_Score]]&gt;=70,"Achieving",IF(EMPLOYEE[[#This Row],[Perf_Score]]&gt;=50,"Developing",IF(EMPLOYEE[[#This Row],[Perf_Score]]&gt;=0,"Needs Improvement","NA")))))</f>
        <v>Achieving</v>
      </c>
      <c r="M135" s="18">
        <f>IF(EMPLOYEE[[#This Row],[Perf_Score]]&gt;=95,0.12,IF(EMPLOYEE[[#This Row],[Perf_Score]]&gt;=85,0.08,IF(EMPLOYEE[[#This Row],[Perf_Score]]&gt;=70,0.05,IF(EMPLOYEE[[#This Row],[Perf_Score]]&gt;=50,0.02,IF(EMPLOYEE[[#This Row],[Perf_Score]]&gt;=0,0,"NA")))))</f>
        <v>0.05</v>
      </c>
    </row>
    <row r="136" spans="1:13" x14ac:dyDescent="0.25">
      <c r="A136" t="s">
        <v>179</v>
      </c>
      <c r="B136" t="s">
        <v>82</v>
      </c>
      <c r="C136" t="s">
        <v>49</v>
      </c>
      <c r="D136" s="2" t="s">
        <v>9</v>
      </c>
      <c r="E136" s="3">
        <v>43360</v>
      </c>
      <c r="F136" s="4">
        <v>61547</v>
      </c>
      <c r="G136">
        <v>68</v>
      </c>
      <c r="H136" t="s">
        <v>36</v>
      </c>
      <c r="I136" t="str">
        <f>VLOOKUP(EMPLOYEE[[#This Row],[Dept Code]],Lookup_Departments!$A$1:$B$7,2,FALSE)</f>
        <v>Information Technology</v>
      </c>
      <c r="J136" t="str">
        <f>CONCATENATE(EMPLOYEE[[#This Row],[First_Name]]," "," ",EMPLOYEE[[#This Row],[Last_Name]])</f>
        <v>David  Davis</v>
      </c>
      <c r="K136" s="13">
        <f ca="1">DATEDIF(EMPLOYEE[[#This Row],[Hire Date]],TODAY(),"Y")</f>
        <v>7</v>
      </c>
      <c r="L136" t="str">
        <f>IF(EMPLOYEE[[#This Row],[Perf_Score]]&gt;=95,"Outstanding",IF(EMPLOYEE[[#This Row],[Perf_Score]]&gt;=85,"Exceeding",IF(EMPLOYEE[[#This Row],[Perf_Score]]&gt;=70,"Achieving",IF(EMPLOYEE[[#This Row],[Perf_Score]]&gt;=50,"Developing",IF(EMPLOYEE[[#This Row],[Perf_Score]]&gt;=0,"Needs Improvement","NA")))))</f>
        <v>Developing</v>
      </c>
      <c r="M136" s="18">
        <f>IF(EMPLOYEE[[#This Row],[Perf_Score]]&gt;=95,0.12,IF(EMPLOYEE[[#This Row],[Perf_Score]]&gt;=85,0.08,IF(EMPLOYEE[[#This Row],[Perf_Score]]&gt;=70,0.05,IF(EMPLOYEE[[#This Row],[Perf_Score]]&gt;=50,0.02,IF(EMPLOYEE[[#This Row],[Perf_Score]]&gt;=0,0,"NA")))))</f>
        <v>0.02</v>
      </c>
    </row>
    <row r="137" spans="1:13" x14ac:dyDescent="0.25">
      <c r="A137" t="s">
        <v>180</v>
      </c>
      <c r="B137" t="s">
        <v>51</v>
      </c>
      <c r="C137" t="s">
        <v>28</v>
      </c>
      <c r="D137" s="2" t="s">
        <v>35</v>
      </c>
      <c r="E137" s="3">
        <v>44375</v>
      </c>
      <c r="F137" s="4">
        <v>83135</v>
      </c>
      <c r="G137">
        <v>52</v>
      </c>
      <c r="H137" t="s">
        <v>36</v>
      </c>
      <c r="I137" t="str">
        <f>VLOOKUP(EMPLOYEE[[#This Row],[Dept Code]],Lookup_Departments!$A$1:$B$7,2,FALSE)</f>
        <v>Sales</v>
      </c>
      <c r="J137" t="str">
        <f>CONCATENATE(EMPLOYEE[[#This Row],[First_Name]]," "," ",EMPLOYEE[[#This Row],[Last_Name]])</f>
        <v>James  Wilson</v>
      </c>
      <c r="K137" s="13">
        <f ca="1">DATEDIF(EMPLOYEE[[#This Row],[Hire Date]],TODAY(),"Y")</f>
        <v>5</v>
      </c>
      <c r="L137" t="str">
        <f>IF(EMPLOYEE[[#This Row],[Perf_Score]]&gt;=95,"Outstanding",IF(EMPLOYEE[[#This Row],[Perf_Score]]&gt;=85,"Exceeding",IF(EMPLOYEE[[#This Row],[Perf_Score]]&gt;=70,"Achieving",IF(EMPLOYEE[[#This Row],[Perf_Score]]&gt;=50,"Developing",IF(EMPLOYEE[[#This Row],[Perf_Score]]&gt;=0,"Needs Improvement","NA")))))</f>
        <v>Developing</v>
      </c>
      <c r="M137" s="18">
        <f>IF(EMPLOYEE[[#This Row],[Perf_Score]]&gt;=95,0.12,IF(EMPLOYEE[[#This Row],[Perf_Score]]&gt;=85,0.08,IF(EMPLOYEE[[#This Row],[Perf_Score]]&gt;=70,0.05,IF(EMPLOYEE[[#This Row],[Perf_Score]]&gt;=50,0.02,IF(EMPLOYEE[[#This Row],[Perf_Score]]&gt;=0,0,"NA")))))</f>
        <v>0.02</v>
      </c>
    </row>
    <row r="138" spans="1:13" x14ac:dyDescent="0.25">
      <c r="A138" t="s">
        <v>181</v>
      </c>
      <c r="B138" t="s">
        <v>11</v>
      </c>
      <c r="C138" t="s">
        <v>25</v>
      </c>
      <c r="D138" s="2" t="s">
        <v>26</v>
      </c>
      <c r="E138" s="3">
        <v>43011</v>
      </c>
      <c r="F138" s="4">
        <v>50399</v>
      </c>
      <c r="G138">
        <v>92</v>
      </c>
      <c r="H138" t="s">
        <v>23</v>
      </c>
      <c r="I138" t="str">
        <f>VLOOKUP(EMPLOYEE[[#This Row],[Dept Code]],Lookup_Departments!$A$1:$B$7,2,FALSE)</f>
        <v>Operations</v>
      </c>
      <c r="J138" t="str">
        <f>CONCATENATE(EMPLOYEE[[#This Row],[First_Name]]," "," ",EMPLOYEE[[#This Row],[Last_Name]])</f>
        <v>Richard  Johnson</v>
      </c>
      <c r="K138" s="13">
        <f ca="1">DATEDIF(EMPLOYEE[[#This Row],[Hire Date]],TODAY(),"Y")</f>
        <v>8</v>
      </c>
      <c r="L138" t="str">
        <f>IF(EMPLOYEE[[#This Row],[Perf_Score]]&gt;=95,"Outstanding",IF(EMPLOYEE[[#This Row],[Perf_Score]]&gt;=85,"Exceeding",IF(EMPLOYEE[[#This Row],[Perf_Score]]&gt;=70,"Achieving",IF(EMPLOYEE[[#This Row],[Perf_Score]]&gt;=50,"Developing",IF(EMPLOYEE[[#This Row],[Perf_Score]]&gt;=0,"Needs Improvement","NA")))))</f>
        <v>Exceeding</v>
      </c>
      <c r="M138" s="18">
        <f>IF(EMPLOYEE[[#This Row],[Perf_Score]]&gt;=95,0.12,IF(EMPLOYEE[[#This Row],[Perf_Score]]&gt;=85,0.08,IF(EMPLOYEE[[#This Row],[Perf_Score]]&gt;=70,0.05,IF(EMPLOYEE[[#This Row],[Perf_Score]]&gt;=50,0.02,IF(EMPLOYEE[[#This Row],[Perf_Score]]&gt;=0,0,"NA")))))</f>
        <v>0.08</v>
      </c>
    </row>
    <row r="139" spans="1:13" x14ac:dyDescent="0.25">
      <c r="A139" t="s">
        <v>182</v>
      </c>
      <c r="B139" t="s">
        <v>11</v>
      </c>
      <c r="C139" t="s">
        <v>42</v>
      </c>
      <c r="D139" s="2" t="s">
        <v>19</v>
      </c>
      <c r="E139" s="3">
        <v>42299</v>
      </c>
      <c r="F139" s="4">
        <v>83500</v>
      </c>
      <c r="G139">
        <v>62</v>
      </c>
      <c r="H139" t="s">
        <v>36</v>
      </c>
      <c r="I139" t="str">
        <f>VLOOKUP(EMPLOYEE[[#This Row],[Dept Code]],Lookup_Departments!$A$1:$B$7,2,FALSE)</f>
        <v>Finance</v>
      </c>
      <c r="J139" t="str">
        <f>CONCATENATE(EMPLOYEE[[#This Row],[First_Name]]," "," ",EMPLOYEE[[#This Row],[Last_Name]])</f>
        <v>Richard  Williams</v>
      </c>
      <c r="K139" s="13">
        <f ca="1">DATEDIF(EMPLOYEE[[#This Row],[Hire Date]],TODAY(),"Y")</f>
        <v>10</v>
      </c>
      <c r="L139" t="str">
        <f>IF(EMPLOYEE[[#This Row],[Perf_Score]]&gt;=95,"Outstanding",IF(EMPLOYEE[[#This Row],[Perf_Score]]&gt;=85,"Exceeding",IF(EMPLOYEE[[#This Row],[Perf_Score]]&gt;=70,"Achieving",IF(EMPLOYEE[[#This Row],[Perf_Score]]&gt;=50,"Developing",IF(EMPLOYEE[[#This Row],[Perf_Score]]&gt;=0,"Needs Improvement","NA")))))</f>
        <v>Developing</v>
      </c>
      <c r="M139" s="18">
        <f>IF(EMPLOYEE[[#This Row],[Perf_Score]]&gt;=95,0.12,IF(EMPLOYEE[[#This Row],[Perf_Score]]&gt;=85,0.08,IF(EMPLOYEE[[#This Row],[Perf_Score]]&gt;=70,0.05,IF(EMPLOYEE[[#This Row],[Perf_Score]]&gt;=50,0.02,IF(EMPLOYEE[[#This Row],[Perf_Score]]&gt;=0,0,"NA")))))</f>
        <v>0.02</v>
      </c>
    </row>
    <row r="140" spans="1:13" x14ac:dyDescent="0.25">
      <c r="A140" t="s">
        <v>183</v>
      </c>
      <c r="B140" t="s">
        <v>17</v>
      </c>
      <c r="C140" t="s">
        <v>12</v>
      </c>
      <c r="D140" s="2" t="s">
        <v>26</v>
      </c>
      <c r="E140" s="3">
        <v>43257</v>
      </c>
      <c r="F140" s="4">
        <v>52720</v>
      </c>
      <c r="G140">
        <v>68</v>
      </c>
      <c r="H140" t="s">
        <v>36</v>
      </c>
      <c r="I140" t="str">
        <f>VLOOKUP(EMPLOYEE[[#This Row],[Dept Code]],Lookup_Departments!$A$1:$B$7,2,FALSE)</f>
        <v>Operations</v>
      </c>
      <c r="J140" t="str">
        <f>CONCATENATE(EMPLOYEE[[#This Row],[First_Name]]," "," ",EMPLOYEE[[#This Row],[Last_Name]])</f>
        <v>John  Hernandez</v>
      </c>
      <c r="K140" s="13">
        <f ca="1">DATEDIF(EMPLOYEE[[#This Row],[Hire Date]],TODAY(),"Y")</f>
        <v>8</v>
      </c>
      <c r="L140" t="str">
        <f>IF(EMPLOYEE[[#This Row],[Perf_Score]]&gt;=95,"Outstanding",IF(EMPLOYEE[[#This Row],[Perf_Score]]&gt;=85,"Exceeding",IF(EMPLOYEE[[#This Row],[Perf_Score]]&gt;=70,"Achieving",IF(EMPLOYEE[[#This Row],[Perf_Score]]&gt;=50,"Developing",IF(EMPLOYEE[[#This Row],[Perf_Score]]&gt;=0,"Needs Improvement","NA")))))</f>
        <v>Developing</v>
      </c>
      <c r="M140" s="18">
        <f>IF(EMPLOYEE[[#This Row],[Perf_Score]]&gt;=95,0.12,IF(EMPLOYEE[[#This Row],[Perf_Score]]&gt;=85,0.08,IF(EMPLOYEE[[#This Row],[Perf_Score]]&gt;=70,0.05,IF(EMPLOYEE[[#This Row],[Perf_Score]]&gt;=50,0.02,IF(EMPLOYEE[[#This Row],[Perf_Score]]&gt;=0,0,"NA")))))</f>
        <v>0.02</v>
      </c>
    </row>
    <row r="141" spans="1:13" x14ac:dyDescent="0.25">
      <c r="A141" t="s">
        <v>184</v>
      </c>
      <c r="B141" t="s">
        <v>70</v>
      </c>
      <c r="C141" t="s">
        <v>15</v>
      </c>
      <c r="D141" s="2" t="s">
        <v>26</v>
      </c>
      <c r="E141" s="3">
        <v>42932</v>
      </c>
      <c r="F141" s="4">
        <v>65065</v>
      </c>
      <c r="G141">
        <v>98</v>
      </c>
      <c r="H141" t="s">
        <v>36</v>
      </c>
      <c r="I141" t="str">
        <f>VLOOKUP(EMPLOYEE[[#This Row],[Dept Code]],Lookup_Departments!$A$1:$B$7,2,FALSE)</f>
        <v>Operations</v>
      </c>
      <c r="J141" t="str">
        <f>CONCATENATE(EMPLOYEE[[#This Row],[First_Name]]," "," ",EMPLOYEE[[#This Row],[Last_Name]])</f>
        <v>Sarah  Gonzalez</v>
      </c>
      <c r="K141" s="13">
        <f ca="1">DATEDIF(EMPLOYEE[[#This Row],[Hire Date]],TODAY(),"Y")</f>
        <v>9</v>
      </c>
      <c r="L141" t="str">
        <f>IF(EMPLOYEE[[#This Row],[Perf_Score]]&gt;=95,"Outstanding",IF(EMPLOYEE[[#This Row],[Perf_Score]]&gt;=85,"Exceeding",IF(EMPLOYEE[[#This Row],[Perf_Score]]&gt;=70,"Achieving",IF(EMPLOYEE[[#This Row],[Perf_Score]]&gt;=50,"Developing",IF(EMPLOYEE[[#This Row],[Perf_Score]]&gt;=0,"Needs Improvement","NA")))))</f>
        <v>Outstanding</v>
      </c>
      <c r="M141" s="18">
        <f>IF(EMPLOYEE[[#This Row],[Perf_Score]]&gt;=95,0.12,IF(EMPLOYEE[[#This Row],[Perf_Score]]&gt;=85,0.08,IF(EMPLOYEE[[#This Row],[Perf_Score]]&gt;=70,0.05,IF(EMPLOYEE[[#This Row],[Perf_Score]]&gt;=50,0.02,IF(EMPLOYEE[[#This Row],[Perf_Score]]&gt;=0,0,"NA")))))</f>
        <v>0.12</v>
      </c>
    </row>
    <row r="142" spans="1:13" x14ac:dyDescent="0.25">
      <c r="A142" t="s">
        <v>185</v>
      </c>
      <c r="B142" t="s">
        <v>77</v>
      </c>
      <c r="C142" t="s">
        <v>12</v>
      </c>
      <c r="D142" s="2" t="s">
        <v>35</v>
      </c>
      <c r="E142" s="3">
        <v>42175</v>
      </c>
      <c r="F142" s="4">
        <v>83135</v>
      </c>
      <c r="G142">
        <v>94</v>
      </c>
      <c r="H142" t="s">
        <v>84</v>
      </c>
      <c r="I142" t="str">
        <f>VLOOKUP(EMPLOYEE[[#This Row],[Dept Code]],Lookup_Departments!$A$1:$B$7,2,FALSE)</f>
        <v>Sales</v>
      </c>
      <c r="J142" t="str">
        <f>CONCATENATE(EMPLOYEE[[#This Row],[First_Name]]," "," ",EMPLOYEE[[#This Row],[Last_Name]])</f>
        <v>Melissa  Hernandez</v>
      </c>
      <c r="K142" s="13">
        <f ca="1">DATEDIF(EMPLOYEE[[#This Row],[Hire Date]],TODAY(),"Y")</f>
        <v>11</v>
      </c>
      <c r="L142" t="str">
        <f>IF(EMPLOYEE[[#This Row],[Perf_Score]]&gt;=95,"Outstanding",IF(EMPLOYEE[[#This Row],[Perf_Score]]&gt;=85,"Exceeding",IF(EMPLOYEE[[#This Row],[Perf_Score]]&gt;=70,"Achieving",IF(EMPLOYEE[[#This Row],[Perf_Score]]&gt;=50,"Developing",IF(EMPLOYEE[[#This Row],[Perf_Score]]&gt;=0,"Needs Improvement","NA")))))</f>
        <v>Exceeding</v>
      </c>
      <c r="M142" s="18">
        <f>IF(EMPLOYEE[[#This Row],[Perf_Score]]&gt;=95,0.12,IF(EMPLOYEE[[#This Row],[Perf_Score]]&gt;=85,0.08,IF(EMPLOYEE[[#This Row],[Perf_Score]]&gt;=70,0.05,IF(EMPLOYEE[[#This Row],[Perf_Score]]&gt;=50,0.02,IF(EMPLOYEE[[#This Row],[Perf_Score]]&gt;=0,0,"NA")))))</f>
        <v>0.08</v>
      </c>
    </row>
    <row r="143" spans="1:13" x14ac:dyDescent="0.25">
      <c r="A143" t="s">
        <v>186</v>
      </c>
      <c r="B143" t="s">
        <v>77</v>
      </c>
      <c r="C143" t="s">
        <v>12</v>
      </c>
      <c r="D143" s="2" t="s">
        <v>26</v>
      </c>
      <c r="E143" s="3">
        <v>43609</v>
      </c>
      <c r="F143" s="4">
        <v>108119</v>
      </c>
      <c r="G143">
        <v>57</v>
      </c>
      <c r="H143" t="s">
        <v>84</v>
      </c>
      <c r="I143" t="str">
        <f>VLOOKUP(EMPLOYEE[[#This Row],[Dept Code]],Lookup_Departments!$A$1:$B$7,2,FALSE)</f>
        <v>Operations</v>
      </c>
      <c r="J143" t="str">
        <f>CONCATENATE(EMPLOYEE[[#This Row],[First_Name]]," "," ",EMPLOYEE[[#This Row],[Last_Name]])</f>
        <v>Melissa  Hernandez</v>
      </c>
      <c r="K143" s="13">
        <f ca="1">DATEDIF(EMPLOYEE[[#This Row],[Hire Date]],TODAY(),"Y")</f>
        <v>7</v>
      </c>
      <c r="L143" t="str">
        <f>IF(EMPLOYEE[[#This Row],[Perf_Score]]&gt;=95,"Outstanding",IF(EMPLOYEE[[#This Row],[Perf_Score]]&gt;=85,"Exceeding",IF(EMPLOYEE[[#This Row],[Perf_Score]]&gt;=70,"Achieving",IF(EMPLOYEE[[#This Row],[Perf_Score]]&gt;=50,"Developing",IF(EMPLOYEE[[#This Row],[Perf_Score]]&gt;=0,"Needs Improvement","NA")))))</f>
        <v>Developing</v>
      </c>
      <c r="M143" s="18">
        <f>IF(EMPLOYEE[[#This Row],[Perf_Score]]&gt;=95,0.12,IF(EMPLOYEE[[#This Row],[Perf_Score]]&gt;=85,0.08,IF(EMPLOYEE[[#This Row],[Perf_Score]]&gt;=70,0.05,IF(EMPLOYEE[[#This Row],[Perf_Score]]&gt;=50,0.02,IF(EMPLOYEE[[#This Row],[Perf_Score]]&gt;=0,0,"NA")))))</f>
        <v>0.02</v>
      </c>
    </row>
    <row r="144" spans="1:13" x14ac:dyDescent="0.25">
      <c r="A144" t="s">
        <v>187</v>
      </c>
      <c r="B144" t="s">
        <v>17</v>
      </c>
      <c r="C144" t="s">
        <v>49</v>
      </c>
      <c r="D144" s="2" t="s">
        <v>9</v>
      </c>
      <c r="E144" s="3">
        <v>43887</v>
      </c>
      <c r="F144" s="4">
        <v>83593</v>
      </c>
      <c r="G144">
        <v>96</v>
      </c>
      <c r="H144" t="s">
        <v>36</v>
      </c>
      <c r="I144" t="str">
        <f>VLOOKUP(EMPLOYEE[[#This Row],[Dept Code]],Lookup_Departments!$A$1:$B$7,2,FALSE)</f>
        <v>Information Technology</v>
      </c>
      <c r="J144" t="str">
        <f>CONCATENATE(EMPLOYEE[[#This Row],[First_Name]]," "," ",EMPLOYEE[[#This Row],[Last_Name]])</f>
        <v>John  Davis</v>
      </c>
      <c r="K144" s="13">
        <f ca="1">DATEDIF(EMPLOYEE[[#This Row],[Hire Date]],TODAY(),"Y")</f>
        <v>6</v>
      </c>
      <c r="L144" t="str">
        <f>IF(EMPLOYEE[[#This Row],[Perf_Score]]&gt;=95,"Outstanding",IF(EMPLOYEE[[#This Row],[Perf_Score]]&gt;=85,"Exceeding",IF(EMPLOYEE[[#This Row],[Perf_Score]]&gt;=70,"Achieving",IF(EMPLOYEE[[#This Row],[Perf_Score]]&gt;=50,"Developing",IF(EMPLOYEE[[#This Row],[Perf_Score]]&gt;=0,"Needs Improvement","NA")))))</f>
        <v>Outstanding</v>
      </c>
      <c r="M144" s="18">
        <f>IF(EMPLOYEE[[#This Row],[Perf_Score]]&gt;=95,0.12,IF(EMPLOYEE[[#This Row],[Perf_Score]]&gt;=85,0.08,IF(EMPLOYEE[[#This Row],[Perf_Score]]&gt;=70,0.05,IF(EMPLOYEE[[#This Row],[Perf_Score]]&gt;=50,0.02,IF(EMPLOYEE[[#This Row],[Perf_Score]]&gt;=0,0,"NA")))))</f>
        <v>0.12</v>
      </c>
    </row>
    <row r="145" spans="1:13" x14ac:dyDescent="0.25">
      <c r="A145" t="s">
        <v>188</v>
      </c>
      <c r="B145" t="s">
        <v>11</v>
      </c>
      <c r="C145" t="s">
        <v>49</v>
      </c>
      <c r="D145" s="2" t="s">
        <v>72</v>
      </c>
      <c r="E145" s="3">
        <v>44991</v>
      </c>
      <c r="F145" s="4">
        <v>106896</v>
      </c>
      <c r="G145">
        <v>52</v>
      </c>
      <c r="H145" t="s">
        <v>23</v>
      </c>
      <c r="I145" t="str">
        <f>VLOOKUP(EMPLOYEE[[#This Row],[Dept Code]],Lookup_Departments!$A$1:$B$7,2,FALSE)</f>
        <v>Human Resources</v>
      </c>
      <c r="J145" t="str">
        <f>CONCATENATE(EMPLOYEE[[#This Row],[First_Name]]," "," ",EMPLOYEE[[#This Row],[Last_Name]])</f>
        <v>Richard  Davis</v>
      </c>
      <c r="K145" s="13">
        <f ca="1">DATEDIF(EMPLOYEE[[#This Row],[Hire Date]],TODAY(),"Y")</f>
        <v>3</v>
      </c>
      <c r="L145" t="str">
        <f>IF(EMPLOYEE[[#This Row],[Perf_Score]]&gt;=95,"Outstanding",IF(EMPLOYEE[[#This Row],[Perf_Score]]&gt;=85,"Exceeding",IF(EMPLOYEE[[#This Row],[Perf_Score]]&gt;=70,"Achieving",IF(EMPLOYEE[[#This Row],[Perf_Score]]&gt;=50,"Developing",IF(EMPLOYEE[[#This Row],[Perf_Score]]&gt;=0,"Needs Improvement","NA")))))</f>
        <v>Developing</v>
      </c>
      <c r="M145" s="18">
        <f>IF(EMPLOYEE[[#This Row],[Perf_Score]]&gt;=95,0.12,IF(EMPLOYEE[[#This Row],[Perf_Score]]&gt;=85,0.08,IF(EMPLOYEE[[#This Row],[Perf_Score]]&gt;=70,0.05,IF(EMPLOYEE[[#This Row],[Perf_Score]]&gt;=50,0.02,IF(EMPLOYEE[[#This Row],[Perf_Score]]&gt;=0,0,"NA")))))</f>
        <v>0.02</v>
      </c>
    </row>
    <row r="146" spans="1:13" x14ac:dyDescent="0.25">
      <c r="A146" t="s">
        <v>189</v>
      </c>
      <c r="B146" t="s">
        <v>11</v>
      </c>
      <c r="C146" t="s">
        <v>46</v>
      </c>
      <c r="D146" s="2" t="s">
        <v>9</v>
      </c>
      <c r="E146" s="3">
        <v>43477</v>
      </c>
      <c r="F146" s="4">
        <v>112887</v>
      </c>
      <c r="G146">
        <v>59</v>
      </c>
      <c r="H146" t="s">
        <v>36</v>
      </c>
      <c r="I146" t="str">
        <f>VLOOKUP(EMPLOYEE[[#This Row],[Dept Code]],Lookup_Departments!$A$1:$B$7,2,FALSE)</f>
        <v>Information Technology</v>
      </c>
      <c r="J146" t="str">
        <f>CONCATENATE(EMPLOYEE[[#This Row],[First_Name]]," "," ",EMPLOYEE[[#This Row],[Last_Name]])</f>
        <v>Richard  Jones</v>
      </c>
      <c r="K146" s="13">
        <f ca="1">DATEDIF(EMPLOYEE[[#This Row],[Hire Date]],TODAY(),"Y")</f>
        <v>7</v>
      </c>
      <c r="L146" t="str">
        <f>IF(EMPLOYEE[[#This Row],[Perf_Score]]&gt;=95,"Outstanding",IF(EMPLOYEE[[#This Row],[Perf_Score]]&gt;=85,"Exceeding",IF(EMPLOYEE[[#This Row],[Perf_Score]]&gt;=70,"Achieving",IF(EMPLOYEE[[#This Row],[Perf_Score]]&gt;=50,"Developing",IF(EMPLOYEE[[#This Row],[Perf_Score]]&gt;=0,"Needs Improvement","NA")))))</f>
        <v>Developing</v>
      </c>
      <c r="M146" s="18">
        <f>IF(EMPLOYEE[[#This Row],[Perf_Score]]&gt;=95,0.12,IF(EMPLOYEE[[#This Row],[Perf_Score]]&gt;=85,0.08,IF(EMPLOYEE[[#This Row],[Perf_Score]]&gt;=70,0.05,IF(EMPLOYEE[[#This Row],[Perf_Score]]&gt;=50,0.02,IF(EMPLOYEE[[#This Row],[Perf_Score]]&gt;=0,0,"NA")))))</f>
        <v>0.02</v>
      </c>
    </row>
    <row r="147" spans="1:13" x14ac:dyDescent="0.25">
      <c r="A147" t="s">
        <v>190</v>
      </c>
      <c r="B147" t="s">
        <v>115</v>
      </c>
      <c r="C147" t="s">
        <v>32</v>
      </c>
      <c r="D147" s="2" t="s">
        <v>19</v>
      </c>
      <c r="E147" s="3">
        <v>45037</v>
      </c>
      <c r="F147" s="4">
        <v>85457</v>
      </c>
      <c r="G147">
        <v>79</v>
      </c>
      <c r="H147" t="s">
        <v>36</v>
      </c>
      <c r="I147" t="str">
        <f>VLOOKUP(EMPLOYEE[[#This Row],[Dept Code]],Lookup_Departments!$A$1:$B$7,2,FALSE)</f>
        <v>Finance</v>
      </c>
      <c r="J147" t="str">
        <f>CONCATENATE(EMPLOYEE[[#This Row],[First_Name]]," "," ",EMPLOYEE[[#This Row],[Last_Name]])</f>
        <v>William  Rodriguez</v>
      </c>
      <c r="K147" s="13">
        <f ca="1">DATEDIF(EMPLOYEE[[#This Row],[Hire Date]],TODAY(),"Y")</f>
        <v>3</v>
      </c>
      <c r="L147" t="str">
        <f>IF(EMPLOYEE[[#This Row],[Perf_Score]]&gt;=95,"Outstanding",IF(EMPLOYEE[[#This Row],[Perf_Score]]&gt;=85,"Exceeding",IF(EMPLOYEE[[#This Row],[Perf_Score]]&gt;=70,"Achieving",IF(EMPLOYEE[[#This Row],[Perf_Score]]&gt;=50,"Developing",IF(EMPLOYEE[[#This Row],[Perf_Score]]&gt;=0,"Needs Improvement","NA")))))</f>
        <v>Achieving</v>
      </c>
      <c r="M147" s="18">
        <f>IF(EMPLOYEE[[#This Row],[Perf_Score]]&gt;=95,0.12,IF(EMPLOYEE[[#This Row],[Perf_Score]]&gt;=85,0.08,IF(EMPLOYEE[[#This Row],[Perf_Score]]&gt;=70,0.05,IF(EMPLOYEE[[#This Row],[Perf_Score]]&gt;=50,0.02,IF(EMPLOYEE[[#This Row],[Perf_Score]]&gt;=0,0,"NA")))))</f>
        <v>0.05</v>
      </c>
    </row>
    <row r="148" spans="1:13" x14ac:dyDescent="0.25">
      <c r="A148" t="s">
        <v>191</v>
      </c>
      <c r="B148" t="s">
        <v>77</v>
      </c>
      <c r="C148" t="s">
        <v>38</v>
      </c>
      <c r="D148" s="2" t="s">
        <v>35</v>
      </c>
      <c r="E148" s="3">
        <v>42519</v>
      </c>
      <c r="F148" s="4">
        <v>62798</v>
      </c>
      <c r="G148">
        <v>30</v>
      </c>
      <c r="H148" t="s">
        <v>36</v>
      </c>
      <c r="I148" t="str">
        <f>VLOOKUP(EMPLOYEE[[#This Row],[Dept Code]],Lookup_Departments!$A$1:$B$7,2,FALSE)</f>
        <v>Sales</v>
      </c>
      <c r="J148" t="str">
        <f>CONCATENATE(EMPLOYEE[[#This Row],[First_Name]]," "," ",EMPLOYEE[[#This Row],[Last_Name]])</f>
        <v>Melissa  Miller</v>
      </c>
      <c r="K148" s="13">
        <f ca="1">DATEDIF(EMPLOYEE[[#This Row],[Hire Date]],TODAY(),"Y")</f>
        <v>10</v>
      </c>
      <c r="L148" t="str">
        <f>IF(EMPLOYEE[[#This Row],[Perf_Score]]&gt;=95,"Outstanding",IF(EMPLOYEE[[#This Row],[Perf_Score]]&gt;=85,"Exceeding",IF(EMPLOYEE[[#This Row],[Perf_Score]]&gt;=70,"Achieving",IF(EMPLOYEE[[#This Row],[Perf_Score]]&gt;=50,"Developing",IF(EMPLOYEE[[#This Row],[Perf_Score]]&gt;=0,"Needs Improvement","NA")))))</f>
        <v>Needs Improvement</v>
      </c>
      <c r="M148" s="18">
        <f>IF(EMPLOYEE[[#This Row],[Perf_Score]]&gt;=95,0.12,IF(EMPLOYEE[[#This Row],[Perf_Score]]&gt;=85,0.08,IF(EMPLOYEE[[#This Row],[Perf_Score]]&gt;=70,0.05,IF(EMPLOYEE[[#This Row],[Perf_Score]]&gt;=50,0.02,IF(EMPLOYEE[[#This Row],[Perf_Score]]&gt;=0,0,"NA")))))</f>
        <v>0</v>
      </c>
    </row>
    <row r="149" spans="1:13" x14ac:dyDescent="0.25">
      <c r="A149" t="s">
        <v>192</v>
      </c>
      <c r="B149" t="s">
        <v>7</v>
      </c>
      <c r="C149" t="s">
        <v>18</v>
      </c>
      <c r="D149" s="2" t="s">
        <v>26</v>
      </c>
      <c r="E149" s="3">
        <v>44711</v>
      </c>
      <c r="F149" s="4">
        <v>47794</v>
      </c>
      <c r="G149">
        <v>73</v>
      </c>
      <c r="H149" t="s">
        <v>23</v>
      </c>
      <c r="I149" t="str">
        <f>VLOOKUP(EMPLOYEE[[#This Row],[Dept Code]],Lookup_Departments!$A$1:$B$7,2,FALSE)</f>
        <v>Operations</v>
      </c>
      <c r="J149" t="str">
        <f>CONCATENATE(EMPLOYEE[[#This Row],[First_Name]]," "," ",EMPLOYEE[[#This Row],[Last_Name]])</f>
        <v>Emily  Martinez</v>
      </c>
      <c r="K149" s="13">
        <f ca="1">DATEDIF(EMPLOYEE[[#This Row],[Hire Date]],TODAY(),"Y")</f>
        <v>4</v>
      </c>
      <c r="L149" t="str">
        <f>IF(EMPLOYEE[[#This Row],[Perf_Score]]&gt;=95,"Outstanding",IF(EMPLOYEE[[#This Row],[Perf_Score]]&gt;=85,"Exceeding",IF(EMPLOYEE[[#This Row],[Perf_Score]]&gt;=70,"Achieving",IF(EMPLOYEE[[#This Row],[Perf_Score]]&gt;=50,"Developing",IF(EMPLOYEE[[#This Row],[Perf_Score]]&gt;=0,"Needs Improvement","NA")))))</f>
        <v>Achieving</v>
      </c>
      <c r="M149" s="18">
        <f>IF(EMPLOYEE[[#This Row],[Perf_Score]]&gt;=95,0.12,IF(EMPLOYEE[[#This Row],[Perf_Score]]&gt;=85,0.08,IF(EMPLOYEE[[#This Row],[Perf_Score]]&gt;=70,0.05,IF(EMPLOYEE[[#This Row],[Perf_Score]]&gt;=50,0.02,IF(EMPLOYEE[[#This Row],[Perf_Score]]&gt;=0,0,"NA")))))</f>
        <v>0.05</v>
      </c>
    </row>
    <row r="150" spans="1:13" x14ac:dyDescent="0.25">
      <c r="A150" t="s">
        <v>193</v>
      </c>
      <c r="B150" t="s">
        <v>51</v>
      </c>
      <c r="C150" t="s">
        <v>32</v>
      </c>
      <c r="D150" s="2" t="s">
        <v>13</v>
      </c>
      <c r="E150" s="3">
        <v>42677</v>
      </c>
      <c r="F150" s="4">
        <v>93094</v>
      </c>
      <c r="G150">
        <v>74</v>
      </c>
      <c r="H150" t="s">
        <v>36</v>
      </c>
      <c r="I150" t="str">
        <f>VLOOKUP(EMPLOYEE[[#This Row],[Dept Code]],Lookup_Departments!$A$1:$B$7,2,FALSE)</f>
        <v>Marketing</v>
      </c>
      <c r="J150" t="str">
        <f>CONCATENATE(EMPLOYEE[[#This Row],[First_Name]]," "," ",EMPLOYEE[[#This Row],[Last_Name]])</f>
        <v>James  Rodriguez</v>
      </c>
      <c r="K150" s="13">
        <f ca="1">DATEDIF(EMPLOYEE[[#This Row],[Hire Date]],TODAY(),"Y")</f>
        <v>9</v>
      </c>
      <c r="L150" t="str">
        <f>IF(EMPLOYEE[[#This Row],[Perf_Score]]&gt;=95,"Outstanding",IF(EMPLOYEE[[#This Row],[Perf_Score]]&gt;=85,"Exceeding",IF(EMPLOYEE[[#This Row],[Perf_Score]]&gt;=70,"Achieving",IF(EMPLOYEE[[#This Row],[Perf_Score]]&gt;=50,"Developing",IF(EMPLOYEE[[#This Row],[Perf_Score]]&gt;=0,"Needs Improvement","NA")))))</f>
        <v>Achieving</v>
      </c>
      <c r="M150" s="18">
        <f>IF(EMPLOYEE[[#This Row],[Perf_Score]]&gt;=95,0.12,IF(EMPLOYEE[[#This Row],[Perf_Score]]&gt;=85,0.08,IF(EMPLOYEE[[#This Row],[Perf_Score]]&gt;=70,0.05,IF(EMPLOYEE[[#This Row],[Perf_Score]]&gt;=50,0.02,IF(EMPLOYEE[[#This Row],[Perf_Score]]&gt;=0,0,"NA")))))</f>
        <v>0.05</v>
      </c>
    </row>
    <row r="151" spans="1:13" x14ac:dyDescent="0.25">
      <c r="A151" t="s">
        <v>194</v>
      </c>
      <c r="B151" t="s">
        <v>56</v>
      </c>
      <c r="C151" t="s">
        <v>8</v>
      </c>
      <c r="D151" s="2" t="s">
        <v>9</v>
      </c>
      <c r="E151" s="3">
        <v>44848</v>
      </c>
      <c r="F151" s="4">
        <v>118634</v>
      </c>
      <c r="G151">
        <v>91</v>
      </c>
      <c r="H151" t="s">
        <v>36</v>
      </c>
      <c r="I151" t="str">
        <f>VLOOKUP(EMPLOYEE[[#This Row],[Dept Code]],Lookup_Departments!$A$1:$B$7,2,FALSE)</f>
        <v>Information Technology</v>
      </c>
      <c r="J151" t="str">
        <f>CONCATENATE(EMPLOYEE[[#This Row],[First_Name]]," "," ",EMPLOYEE[[#This Row],[Last_Name]])</f>
        <v>Amanda  Brown</v>
      </c>
      <c r="K151" s="13">
        <f ca="1">DATEDIF(EMPLOYEE[[#This Row],[Hire Date]],TODAY(),"Y")</f>
        <v>3</v>
      </c>
      <c r="L151" t="str">
        <f>IF(EMPLOYEE[[#This Row],[Perf_Score]]&gt;=95,"Outstanding",IF(EMPLOYEE[[#This Row],[Perf_Score]]&gt;=85,"Exceeding",IF(EMPLOYEE[[#This Row],[Perf_Score]]&gt;=70,"Achieving",IF(EMPLOYEE[[#This Row],[Perf_Score]]&gt;=50,"Developing",IF(EMPLOYEE[[#This Row],[Perf_Score]]&gt;=0,"Needs Improvement","NA")))))</f>
        <v>Exceeding</v>
      </c>
      <c r="M151" s="18">
        <f>IF(EMPLOYEE[[#This Row],[Perf_Score]]&gt;=95,0.12,IF(EMPLOYEE[[#This Row],[Perf_Score]]&gt;=85,0.08,IF(EMPLOYEE[[#This Row],[Perf_Score]]&gt;=70,0.05,IF(EMPLOYEE[[#This Row],[Perf_Score]]&gt;=50,0.02,IF(EMPLOYEE[[#This Row],[Perf_Score]]&gt;=0,0,"NA")))))</f>
        <v>0.08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K8" sqref="K8"/>
    </sheetView>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203</v>
      </c>
      <c r="B1" s="1" t="s">
        <v>204</v>
      </c>
      <c r="C1" s="1" t="s">
        <v>205</v>
      </c>
      <c r="D1" s="1" t="s">
        <v>206</v>
      </c>
    </row>
    <row r="2" spans="1:4" x14ac:dyDescent="0.25">
      <c r="A2">
        <v>0</v>
      </c>
      <c r="B2">
        <v>49</v>
      </c>
      <c r="C2" t="s">
        <v>207</v>
      </c>
      <c r="D2">
        <v>0</v>
      </c>
    </row>
    <row r="3" spans="1:4" x14ac:dyDescent="0.25">
      <c r="A3">
        <v>50</v>
      </c>
      <c r="B3">
        <v>69</v>
      </c>
      <c r="C3" t="s">
        <v>208</v>
      </c>
      <c r="D3">
        <v>0.02</v>
      </c>
    </row>
    <row r="4" spans="1:4" x14ac:dyDescent="0.25">
      <c r="A4">
        <v>70</v>
      </c>
      <c r="B4">
        <v>84</v>
      </c>
      <c r="C4" t="s">
        <v>209</v>
      </c>
      <c r="D4">
        <v>0.05</v>
      </c>
    </row>
    <row r="5" spans="1:4" x14ac:dyDescent="0.25">
      <c r="A5">
        <v>85</v>
      </c>
      <c r="B5">
        <v>94</v>
      </c>
      <c r="C5" t="s">
        <v>210</v>
      </c>
      <c r="D5">
        <v>0.08</v>
      </c>
    </row>
    <row r="6" spans="1:4" x14ac:dyDescent="0.25">
      <c r="A6">
        <v>95</v>
      </c>
      <c r="B6">
        <v>100</v>
      </c>
      <c r="C6" t="s">
        <v>211</v>
      </c>
      <c r="D6">
        <v>0.12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K8" sqref="K8"/>
    </sheetView>
  </sheetViews>
  <sheetFormatPr defaultRowHeight="15" x14ac:dyDescent="0.25"/>
  <cols>
    <col min="1" max="1" width="10.85546875" bestFit="1" customWidth="1"/>
    <col min="2" max="2" width="22.5703125" bestFit="1" customWidth="1"/>
  </cols>
  <sheetData>
    <row r="1" spans="1:2" x14ac:dyDescent="0.25">
      <c r="A1" s="1" t="s">
        <v>195</v>
      </c>
      <c r="B1" s="1" t="s">
        <v>196</v>
      </c>
    </row>
    <row r="2" spans="1:2" x14ac:dyDescent="0.25">
      <c r="A2" t="s">
        <v>72</v>
      </c>
      <c r="B2" t="s">
        <v>197</v>
      </c>
    </row>
    <row r="3" spans="1:2" x14ac:dyDescent="0.25">
      <c r="A3" t="s">
        <v>9</v>
      </c>
      <c r="B3" t="s">
        <v>198</v>
      </c>
    </row>
    <row r="4" spans="1:2" x14ac:dyDescent="0.25">
      <c r="A4" t="s">
        <v>19</v>
      </c>
      <c r="B4" t="s">
        <v>199</v>
      </c>
    </row>
    <row r="5" spans="1:2" x14ac:dyDescent="0.25">
      <c r="A5" t="s">
        <v>13</v>
      </c>
      <c r="B5" t="s">
        <v>200</v>
      </c>
    </row>
    <row r="6" spans="1:2" x14ac:dyDescent="0.25">
      <c r="A6" t="s">
        <v>35</v>
      </c>
      <c r="B6" t="s">
        <v>201</v>
      </c>
    </row>
    <row r="7" spans="1:2" x14ac:dyDescent="0.25">
      <c r="A7" t="s">
        <v>26</v>
      </c>
      <c r="B7" t="s">
        <v>202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FC5A-3411-4A50-963F-2F708C503385}">
  <dimension ref="A2:O21"/>
  <sheetViews>
    <sheetView topLeftCell="N1" zoomScaleNormal="100" workbookViewId="0">
      <selection activeCell="J19" sqref="J19"/>
    </sheetView>
  </sheetViews>
  <sheetFormatPr defaultRowHeight="15" x14ac:dyDescent="0.25"/>
  <cols>
    <col min="1" max="1" width="20.85546875" bestFit="1" customWidth="1"/>
    <col min="2" max="3" width="17.140625" bestFit="1" customWidth="1"/>
    <col min="6" max="6" width="26" bestFit="1" customWidth="1"/>
    <col min="7" max="7" width="21.5703125" bestFit="1" customWidth="1"/>
    <col min="8" max="8" width="13.140625" bestFit="1" customWidth="1"/>
    <col min="9" max="9" width="32" bestFit="1" customWidth="1"/>
    <col min="10" max="10" width="24.85546875" bestFit="1" customWidth="1"/>
    <col min="11" max="11" width="21.5703125" bestFit="1" customWidth="1"/>
    <col min="12" max="12" width="4.5703125" bestFit="1" customWidth="1"/>
    <col min="13" max="13" width="12" bestFit="1" customWidth="1"/>
    <col min="14" max="14" width="21.28515625" bestFit="1" customWidth="1"/>
    <col min="15" max="15" width="28.5703125" bestFit="1" customWidth="1"/>
  </cols>
  <sheetData>
    <row r="2" spans="1:15" x14ac:dyDescent="0.25">
      <c r="A2" s="21" t="s">
        <v>230</v>
      </c>
      <c r="B2" s="21"/>
      <c r="C2" s="21"/>
      <c r="F2" s="21" t="s">
        <v>225</v>
      </c>
      <c r="G2" s="21"/>
      <c r="H2" s="21"/>
      <c r="J2" s="21" t="s">
        <v>227</v>
      </c>
      <c r="K2" s="21"/>
      <c r="L2" s="21"/>
      <c r="N2" s="21" t="s">
        <v>232</v>
      </c>
      <c r="O2" s="21"/>
    </row>
    <row r="3" spans="1:15" x14ac:dyDescent="0.25">
      <c r="A3" s="14" t="s">
        <v>215</v>
      </c>
      <c r="B3" t="s">
        <v>220</v>
      </c>
      <c r="C3" t="s">
        <v>221</v>
      </c>
      <c r="F3" s="14" t="s">
        <v>224</v>
      </c>
      <c r="G3" s="14" t="s">
        <v>222</v>
      </c>
      <c r="J3" s="14" t="s">
        <v>226</v>
      </c>
      <c r="K3" s="14" t="s">
        <v>222</v>
      </c>
      <c r="N3" s="14" t="s">
        <v>217</v>
      </c>
      <c r="O3" t="s">
        <v>228</v>
      </c>
    </row>
    <row r="4" spans="1:15" x14ac:dyDescent="0.25">
      <c r="A4" s="10" t="s">
        <v>198</v>
      </c>
      <c r="B4">
        <v>36</v>
      </c>
      <c r="C4" s="15">
        <v>80511.305555555562</v>
      </c>
      <c r="F4" s="14" t="s">
        <v>215</v>
      </c>
      <c r="G4" t="s">
        <v>23</v>
      </c>
      <c r="H4" s="17" t="s">
        <v>223</v>
      </c>
      <c r="J4" s="14" t="s">
        <v>215</v>
      </c>
      <c r="K4" t="s">
        <v>36</v>
      </c>
      <c r="L4" t="s">
        <v>23</v>
      </c>
      <c r="N4" s="10" t="s">
        <v>209</v>
      </c>
      <c r="O4">
        <v>2.0500000000000007</v>
      </c>
    </row>
    <row r="5" spans="1:15" x14ac:dyDescent="0.25">
      <c r="A5" s="10" t="s">
        <v>201</v>
      </c>
      <c r="B5">
        <v>31</v>
      </c>
      <c r="C5" s="15">
        <v>86212.06451612903</v>
      </c>
      <c r="F5" s="10" t="s">
        <v>202</v>
      </c>
      <c r="G5">
        <v>6</v>
      </c>
      <c r="H5" s="16">
        <f>GETPIVOTDATA("Employment status ",$F$3,"Employment status ","Left","Department Name","Operations")/GETPIVOTDATA("Count of Employee ID",$A$3,"Department Name","Operations")</f>
        <v>0.20689655172413793</v>
      </c>
      <c r="J5" s="10" t="s">
        <v>200</v>
      </c>
      <c r="K5" s="13">
        <v>74.6875</v>
      </c>
      <c r="L5" s="13">
        <v>65.333333333333329</v>
      </c>
      <c r="N5" s="10" t="s">
        <v>210</v>
      </c>
      <c r="O5">
        <v>1.7600000000000005</v>
      </c>
    </row>
    <row r="6" spans="1:15" x14ac:dyDescent="0.25">
      <c r="A6" s="10" t="s">
        <v>202</v>
      </c>
      <c r="B6">
        <v>29</v>
      </c>
      <c r="C6" s="15">
        <v>80009.172413793101</v>
      </c>
      <c r="F6" s="10" t="s">
        <v>198</v>
      </c>
      <c r="G6">
        <v>6</v>
      </c>
      <c r="H6" s="16">
        <f>GETPIVOTDATA("Employment status ",$F$3,"Employment status ","Left","Department Name","Information Technology")/GETPIVOTDATA("Count of Employee ID",$A$3,"Department Name","Information Technology")</f>
        <v>0.16666666666666666</v>
      </c>
      <c r="J6" s="10" t="s">
        <v>197</v>
      </c>
      <c r="K6" s="13">
        <v>69.933333333333337</v>
      </c>
      <c r="L6" s="13">
        <v>71</v>
      </c>
      <c r="N6" s="10" t="s">
        <v>211</v>
      </c>
      <c r="O6">
        <v>1.2000000000000002</v>
      </c>
    </row>
    <row r="7" spans="1:15" x14ac:dyDescent="0.25">
      <c r="A7" s="10" t="s">
        <v>200</v>
      </c>
      <c r="B7">
        <v>19</v>
      </c>
      <c r="C7" s="15">
        <v>85406.68421052632</v>
      </c>
      <c r="F7" s="10" t="s">
        <v>201</v>
      </c>
      <c r="G7">
        <v>4</v>
      </c>
      <c r="H7" s="16">
        <f>GETPIVOTDATA("Employment status ",$F$3,"Employment status ","Left","Department Name","Sales")/GETPIVOTDATA("Count of Employee ID",$A$3,"Department Name","Sales")</f>
        <v>0.12903225806451613</v>
      </c>
      <c r="J7" s="10" t="s">
        <v>202</v>
      </c>
      <c r="K7" s="13">
        <v>69.444444444444443</v>
      </c>
      <c r="L7" s="13">
        <v>73.833333333333329</v>
      </c>
      <c r="N7" s="10" t="s">
        <v>208</v>
      </c>
      <c r="O7">
        <v>0.98000000000000054</v>
      </c>
    </row>
    <row r="8" spans="1:15" x14ac:dyDescent="0.25">
      <c r="A8" s="10" t="s">
        <v>197</v>
      </c>
      <c r="B8">
        <v>18</v>
      </c>
      <c r="C8" s="15">
        <v>85461.611111111109</v>
      </c>
      <c r="F8" s="10" t="s">
        <v>199</v>
      </c>
      <c r="G8">
        <v>3</v>
      </c>
      <c r="H8" s="16">
        <f>GETPIVOTDATA("Employment status ",$F$3,"Employment status ","Left","Department Name","Finance")/GETPIVOTDATA("Count of Employee ID",$A$3,"Department Name","Finance")</f>
        <v>0.17647058823529413</v>
      </c>
      <c r="J8" s="10" t="s">
        <v>199</v>
      </c>
      <c r="K8" s="13">
        <v>68.357142857142861</v>
      </c>
      <c r="L8" s="13">
        <v>71.666666666666671</v>
      </c>
      <c r="N8" s="10" t="s">
        <v>207</v>
      </c>
      <c r="O8">
        <v>0</v>
      </c>
    </row>
    <row r="9" spans="1:15" x14ac:dyDescent="0.25">
      <c r="A9" s="10" t="s">
        <v>199</v>
      </c>
      <c r="B9">
        <v>17</v>
      </c>
      <c r="C9" s="15">
        <v>87155.23529411765</v>
      </c>
      <c r="F9" s="10" t="s">
        <v>200</v>
      </c>
      <c r="G9">
        <v>3</v>
      </c>
      <c r="H9" s="16">
        <f>GETPIVOTDATA("Employment status ",$F$3,"Employment status ","Left","Department Name","Marketing")/GETPIVOTDATA("Count of Employee ID",$A$3,"Department Name","Marketing")</f>
        <v>0.15789473684210525</v>
      </c>
      <c r="J9" s="10" t="s">
        <v>198</v>
      </c>
      <c r="K9" s="13">
        <v>67.25</v>
      </c>
      <c r="L9" s="13">
        <v>51.833333333333336</v>
      </c>
      <c r="N9" s="10" t="s">
        <v>219</v>
      </c>
      <c r="O9">
        <v>5.990000000000002</v>
      </c>
    </row>
    <row r="10" spans="1:15" x14ac:dyDescent="0.25">
      <c r="A10" s="10" t="s">
        <v>219</v>
      </c>
      <c r="B10">
        <v>150</v>
      </c>
      <c r="C10" s="15">
        <v>83559.48</v>
      </c>
      <c r="F10" s="10" t="s">
        <v>197</v>
      </c>
      <c r="G10">
        <v>2</v>
      </c>
      <c r="H10" s="16">
        <f>GETPIVOTDATA("Employment status ",$F$3,"Employment status ","Left","Department Name","Human Resources")/GETPIVOTDATA("Count of Employee ID",$A$3,"Department Name","Human Resources")</f>
        <v>0.1111111111111111</v>
      </c>
      <c r="J10" s="10" t="s">
        <v>201</v>
      </c>
      <c r="K10" s="13">
        <v>60.96</v>
      </c>
      <c r="L10" s="13">
        <v>70.5</v>
      </c>
      <c r="O10">
        <f>GETPIVOTDATA("Eligible Bonus Amount",$N$3)</f>
        <v>5.990000000000002</v>
      </c>
    </row>
    <row r="11" spans="1:15" x14ac:dyDescent="0.25">
      <c r="F11" s="10" t="s">
        <v>233</v>
      </c>
      <c r="G11" s="22">
        <f>SUM(G5:G10)</f>
        <v>24</v>
      </c>
      <c r="H11" s="19">
        <f>G11/GETPIVOTDATA("Count of Employee ID",$A$3)</f>
        <v>0.16</v>
      </c>
      <c r="J11" s="10" t="s">
        <v>219</v>
      </c>
      <c r="K11" s="13">
        <v>67.741379310344826</v>
      </c>
      <c r="L11" s="13">
        <v>66.208333333333329</v>
      </c>
    </row>
    <row r="12" spans="1:15" x14ac:dyDescent="0.25">
      <c r="A12" s="23" t="s">
        <v>229</v>
      </c>
      <c r="B12" s="23"/>
      <c r="H12" s="19"/>
    </row>
    <row r="13" spans="1:15" x14ac:dyDescent="0.25">
      <c r="A13" s="14" t="s">
        <v>215</v>
      </c>
      <c r="B13" t="s">
        <v>221</v>
      </c>
      <c r="D13" s="24" t="s">
        <v>234</v>
      </c>
      <c r="E13" s="24"/>
      <c r="F13" s="24"/>
      <c r="H13" t="s">
        <v>231</v>
      </c>
    </row>
    <row r="14" spans="1:15" x14ac:dyDescent="0.25">
      <c r="A14" s="10" t="s">
        <v>199</v>
      </c>
      <c r="B14" s="15">
        <v>87155.23529411765</v>
      </c>
      <c r="D14" s="25" t="s">
        <v>235</v>
      </c>
      <c r="E14" s="25"/>
      <c r="H14" s="13">
        <v>6.4733333333333336</v>
      </c>
    </row>
    <row r="15" spans="1:15" x14ac:dyDescent="0.25">
      <c r="A15" s="10" t="s">
        <v>197</v>
      </c>
      <c r="B15" s="15">
        <v>85461.611111111109</v>
      </c>
      <c r="D15">
        <f>GETPIVOTDATA("Count of Employee ID",$A$3)</f>
        <v>150</v>
      </c>
      <c r="H15" s="13">
        <f>GETPIVOTDATA("Years of Service",$H$13)</f>
        <v>6.4733333333333336</v>
      </c>
    </row>
    <row r="16" spans="1:15" x14ac:dyDescent="0.25">
      <c r="A16" s="10" t="s">
        <v>201</v>
      </c>
      <c r="B16" s="15">
        <v>86212.06451612903</v>
      </c>
      <c r="D16" s="25" t="s">
        <v>236</v>
      </c>
      <c r="E16" s="25"/>
    </row>
    <row r="17" spans="1:6" x14ac:dyDescent="0.25">
      <c r="A17" s="10" t="s">
        <v>219</v>
      </c>
      <c r="B17" s="15">
        <v>86250.333333333328</v>
      </c>
      <c r="D17" s="20">
        <f>GETPIVOTDATA("Average of Salary",$A$3)</f>
        <v>83559.48</v>
      </c>
    </row>
    <row r="18" spans="1:6" x14ac:dyDescent="0.25">
      <c r="B18" s="20">
        <f>GETPIVOTDATA("Salary",$A$13)</f>
        <v>86250.333333333328</v>
      </c>
      <c r="D18" s="26" t="s">
        <v>237</v>
      </c>
      <c r="E18" s="26"/>
      <c r="F18" s="26"/>
    </row>
    <row r="19" spans="1:6" x14ac:dyDescent="0.25">
      <c r="D19" s="13">
        <f>GETPIVOTDATA("Years of Service",$H$13)</f>
        <v>6.4733333333333336</v>
      </c>
    </row>
    <row r="20" spans="1:6" x14ac:dyDescent="0.25">
      <c r="D20" s="26" t="s">
        <v>238</v>
      </c>
      <c r="E20" s="26"/>
      <c r="F20" s="26"/>
    </row>
    <row r="21" spans="1:6" x14ac:dyDescent="0.25">
      <c r="D21" s="19">
        <f>H11</f>
        <v>0.16</v>
      </c>
    </row>
  </sheetData>
  <sortState xmlns:xlrd2="http://schemas.microsoft.com/office/spreadsheetml/2017/richdata2" columnSort="1" ref="A3:C10">
    <sortCondition descending="1" ref="C3"/>
  </sortState>
  <mergeCells count="8">
    <mergeCell ref="D13:F13"/>
    <mergeCell ref="D14:E14"/>
    <mergeCell ref="D16:E16"/>
    <mergeCell ref="A2:C2"/>
    <mergeCell ref="F2:H2"/>
    <mergeCell ref="J2:L2"/>
    <mergeCell ref="N2:O2"/>
    <mergeCell ref="A12:B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71A22-1065-473E-9D7F-2C89F80E8990}">
  <dimension ref="A1"/>
  <sheetViews>
    <sheetView topLeftCell="A13" workbookViewId="0">
      <selection activeCell="I34" sqref="I34"/>
    </sheetView>
  </sheetViews>
  <sheetFormatPr defaultRowHeight="15" x14ac:dyDescent="0.25"/>
  <cols>
    <col min="9" max="9" width="26.28515625" bestFit="1" customWidth="1"/>
    <col min="10" max="10" width="19.8554687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8A39-41F1-4C16-BECB-FF43FF3184D6}">
  <dimension ref="A1"/>
  <sheetViews>
    <sheetView showGridLines="0" tabSelected="1" zoomScale="110" zoomScaleNormal="110" workbookViewId="0">
      <selection activeCell="S12" sqref="S1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Lookup_Performance</vt:lpstr>
      <vt:lpstr>Lookup_Departments</vt:lpstr>
      <vt:lpstr>PIVOT TABLE</vt:lpstr>
      <vt:lpstr>PIVOT CHART</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2026-06-04T20:20:01Z</dcterms:created>
  <dcterms:modified xsi:type="dcterms:W3CDTF">2026-07-17T15:41:21Z</dcterms:modified>
</cp:coreProperties>
</file>